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hir\Documents\Codex\2026-10-27\bi\outputs\pr2-analyzer\"/>
    </mc:Choice>
  </mc:AlternateContent>
  <xr:revisionPtr revIDLastSave="0" documentId="11_733CD3EA1E275DA56D9695B511715C331114D26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taset" sheetId="2" r:id="rId2"/>
    <sheet name="Analysis" sheetId="3" r:id="rId3"/>
    <sheet name="What-If" sheetId="4" r:id="rId4"/>
    <sheet name="Read 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6" i="4"/>
  <c r="B4" i="4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H16" i="3"/>
  <c r="K15" i="3"/>
  <c r="H15" i="3"/>
  <c r="K14" i="3"/>
  <c r="H14" i="3"/>
  <c r="K13" i="3"/>
  <c r="H13" i="3"/>
  <c r="K12" i="3"/>
  <c r="H12" i="3"/>
  <c r="K11" i="3"/>
  <c r="H11" i="3"/>
  <c r="N10" i="3"/>
  <c r="K10" i="3"/>
  <c r="H10" i="3"/>
  <c r="N9" i="3"/>
  <c r="K9" i="3"/>
  <c r="H9" i="3"/>
  <c r="N8" i="3"/>
  <c r="K8" i="3"/>
  <c r="H8" i="3"/>
  <c r="E8" i="3"/>
  <c r="B8" i="3"/>
  <c r="N7" i="3"/>
  <c r="K7" i="3"/>
  <c r="H7" i="3"/>
  <c r="E7" i="3"/>
  <c r="B7" i="3"/>
  <c r="N6" i="3"/>
  <c r="K6" i="3"/>
  <c r="H6" i="3"/>
  <c r="E6" i="3"/>
  <c r="B6" i="3"/>
  <c r="N5" i="3"/>
  <c r="K5" i="3"/>
  <c r="H5" i="3"/>
  <c r="E5" i="3"/>
  <c r="B5" i="3"/>
  <c r="N4" i="3"/>
  <c r="K4" i="3"/>
  <c r="H4" i="3"/>
  <c r="E4" i="3"/>
  <c r="B4" i="3"/>
  <c r="M201" i="2"/>
  <c r="L201" i="2"/>
  <c r="J201" i="2"/>
  <c r="M200" i="2"/>
  <c r="L200" i="2"/>
  <c r="J200" i="2"/>
  <c r="M199" i="2"/>
  <c r="L199" i="2"/>
  <c r="J199" i="2"/>
  <c r="M198" i="2"/>
  <c r="L198" i="2"/>
  <c r="J198" i="2"/>
  <c r="M197" i="2"/>
  <c r="L197" i="2"/>
  <c r="J197" i="2"/>
  <c r="M196" i="2"/>
  <c r="L196" i="2"/>
  <c r="J196" i="2"/>
  <c r="M195" i="2"/>
  <c r="L195" i="2"/>
  <c r="J195" i="2"/>
  <c r="M194" i="2"/>
  <c r="L194" i="2"/>
  <c r="J194" i="2"/>
  <c r="M193" i="2"/>
  <c r="L193" i="2"/>
  <c r="J193" i="2"/>
  <c r="M192" i="2"/>
  <c r="L192" i="2"/>
  <c r="J192" i="2"/>
  <c r="M191" i="2"/>
  <c r="L191" i="2"/>
  <c r="J191" i="2"/>
  <c r="M190" i="2"/>
  <c r="L190" i="2"/>
  <c r="J190" i="2"/>
  <c r="M189" i="2"/>
  <c r="L189" i="2"/>
  <c r="J189" i="2"/>
  <c r="M188" i="2"/>
  <c r="L188" i="2"/>
  <c r="J188" i="2"/>
  <c r="M187" i="2"/>
  <c r="L187" i="2"/>
  <c r="J187" i="2"/>
  <c r="M186" i="2"/>
  <c r="L186" i="2"/>
  <c r="J186" i="2"/>
  <c r="M185" i="2"/>
  <c r="L185" i="2"/>
  <c r="J185" i="2"/>
  <c r="M184" i="2"/>
  <c r="L184" i="2"/>
  <c r="J184" i="2"/>
  <c r="M183" i="2"/>
  <c r="L183" i="2"/>
  <c r="J183" i="2"/>
  <c r="M182" i="2"/>
  <c r="L182" i="2"/>
  <c r="J182" i="2"/>
  <c r="M181" i="2"/>
  <c r="L181" i="2"/>
  <c r="J181" i="2"/>
  <c r="M180" i="2"/>
  <c r="L180" i="2"/>
  <c r="J180" i="2"/>
  <c r="M179" i="2"/>
  <c r="L179" i="2"/>
  <c r="J179" i="2"/>
  <c r="M178" i="2"/>
  <c r="L178" i="2"/>
  <c r="J178" i="2"/>
  <c r="M177" i="2"/>
  <c r="L177" i="2"/>
  <c r="J177" i="2"/>
  <c r="M176" i="2"/>
  <c r="L176" i="2"/>
  <c r="J176" i="2"/>
  <c r="M175" i="2"/>
  <c r="L175" i="2"/>
  <c r="J175" i="2"/>
  <c r="M174" i="2"/>
  <c r="L174" i="2"/>
  <c r="J174" i="2"/>
  <c r="M173" i="2"/>
  <c r="L173" i="2"/>
  <c r="J173" i="2"/>
  <c r="M172" i="2"/>
  <c r="L172" i="2"/>
  <c r="J172" i="2"/>
  <c r="M171" i="2"/>
  <c r="L171" i="2"/>
  <c r="J171" i="2"/>
  <c r="M170" i="2"/>
  <c r="L170" i="2"/>
  <c r="J170" i="2"/>
  <c r="M169" i="2"/>
  <c r="L169" i="2"/>
  <c r="J169" i="2"/>
  <c r="M168" i="2"/>
  <c r="L168" i="2"/>
  <c r="J168" i="2"/>
  <c r="M167" i="2"/>
  <c r="L167" i="2"/>
  <c r="J167" i="2"/>
  <c r="M166" i="2"/>
  <c r="L166" i="2"/>
  <c r="J166" i="2"/>
  <c r="M165" i="2"/>
  <c r="L165" i="2"/>
  <c r="J165" i="2"/>
  <c r="M164" i="2"/>
  <c r="L164" i="2"/>
  <c r="J164" i="2"/>
  <c r="M163" i="2"/>
  <c r="L163" i="2"/>
  <c r="J163" i="2"/>
  <c r="M162" i="2"/>
  <c r="L162" i="2"/>
  <c r="J162" i="2"/>
  <c r="M161" i="2"/>
  <c r="L161" i="2"/>
  <c r="J161" i="2"/>
  <c r="M160" i="2"/>
  <c r="L160" i="2"/>
  <c r="J160" i="2"/>
  <c r="M159" i="2"/>
  <c r="L159" i="2"/>
  <c r="J159" i="2"/>
  <c r="M158" i="2"/>
  <c r="L158" i="2"/>
  <c r="J158" i="2"/>
  <c r="M157" i="2"/>
  <c r="L157" i="2"/>
  <c r="J157" i="2"/>
  <c r="M156" i="2"/>
  <c r="L156" i="2"/>
  <c r="J156" i="2"/>
  <c r="M155" i="2"/>
  <c r="L155" i="2"/>
  <c r="J155" i="2"/>
  <c r="M154" i="2"/>
  <c r="L154" i="2"/>
  <c r="J154" i="2"/>
  <c r="M153" i="2"/>
  <c r="L153" i="2"/>
  <c r="J153" i="2"/>
  <c r="M152" i="2"/>
  <c r="L152" i="2"/>
  <c r="J152" i="2"/>
  <c r="M151" i="2"/>
  <c r="L151" i="2"/>
  <c r="J151" i="2"/>
  <c r="M150" i="2"/>
  <c r="L150" i="2"/>
  <c r="J150" i="2"/>
  <c r="M149" i="2"/>
  <c r="L149" i="2"/>
  <c r="J149" i="2"/>
  <c r="M148" i="2"/>
  <c r="L148" i="2"/>
  <c r="J148" i="2"/>
  <c r="M147" i="2"/>
  <c r="L147" i="2"/>
  <c r="J147" i="2"/>
  <c r="M146" i="2"/>
  <c r="L146" i="2"/>
  <c r="J146" i="2"/>
  <c r="M145" i="2"/>
  <c r="L145" i="2"/>
  <c r="J145" i="2"/>
  <c r="M144" i="2"/>
  <c r="L144" i="2"/>
  <c r="J144" i="2"/>
  <c r="M143" i="2"/>
  <c r="L143" i="2"/>
  <c r="J143" i="2"/>
  <c r="M142" i="2"/>
  <c r="L142" i="2"/>
  <c r="J142" i="2"/>
  <c r="M141" i="2"/>
  <c r="L141" i="2"/>
  <c r="J141" i="2"/>
  <c r="M140" i="2"/>
  <c r="L140" i="2"/>
  <c r="J140" i="2"/>
  <c r="M139" i="2"/>
  <c r="L139" i="2"/>
  <c r="J139" i="2"/>
  <c r="M138" i="2"/>
  <c r="L138" i="2"/>
  <c r="J138" i="2"/>
  <c r="M137" i="2"/>
  <c r="L137" i="2"/>
  <c r="J137" i="2"/>
  <c r="M136" i="2"/>
  <c r="L136" i="2"/>
  <c r="J136" i="2"/>
  <c r="M135" i="2"/>
  <c r="L135" i="2"/>
  <c r="J135" i="2"/>
  <c r="M134" i="2"/>
  <c r="L134" i="2"/>
  <c r="J134" i="2"/>
  <c r="M133" i="2"/>
  <c r="L133" i="2"/>
  <c r="J133" i="2"/>
  <c r="M132" i="2"/>
  <c r="L132" i="2"/>
  <c r="J132" i="2"/>
  <c r="M131" i="2"/>
  <c r="L131" i="2"/>
  <c r="J131" i="2"/>
  <c r="M130" i="2"/>
  <c r="L130" i="2"/>
  <c r="J130" i="2"/>
  <c r="M129" i="2"/>
  <c r="L129" i="2"/>
  <c r="J129" i="2"/>
  <c r="M128" i="2"/>
  <c r="L128" i="2"/>
  <c r="J128" i="2"/>
  <c r="M127" i="2"/>
  <c r="L127" i="2"/>
  <c r="J127" i="2"/>
  <c r="M126" i="2"/>
  <c r="L126" i="2"/>
  <c r="J126" i="2"/>
  <c r="M125" i="2"/>
  <c r="L125" i="2"/>
  <c r="J125" i="2"/>
  <c r="M124" i="2"/>
  <c r="L124" i="2"/>
  <c r="J124" i="2"/>
  <c r="M123" i="2"/>
  <c r="L123" i="2"/>
  <c r="J123" i="2"/>
  <c r="M122" i="2"/>
  <c r="L122" i="2"/>
  <c r="J122" i="2"/>
  <c r="M121" i="2"/>
  <c r="L121" i="2"/>
  <c r="J121" i="2"/>
  <c r="M120" i="2"/>
  <c r="L120" i="2"/>
  <c r="J120" i="2"/>
  <c r="M119" i="2"/>
  <c r="L119" i="2"/>
  <c r="J119" i="2"/>
  <c r="M118" i="2"/>
  <c r="L118" i="2"/>
  <c r="J118" i="2"/>
  <c r="M117" i="2"/>
  <c r="L117" i="2"/>
  <c r="J117" i="2"/>
  <c r="M116" i="2"/>
  <c r="L116" i="2"/>
  <c r="J116" i="2"/>
  <c r="M115" i="2"/>
  <c r="L115" i="2"/>
  <c r="J115" i="2"/>
  <c r="M114" i="2"/>
  <c r="L114" i="2"/>
  <c r="J114" i="2"/>
  <c r="M113" i="2"/>
  <c r="L113" i="2"/>
  <c r="J113" i="2"/>
  <c r="M112" i="2"/>
  <c r="L112" i="2"/>
  <c r="J112" i="2"/>
  <c r="M111" i="2"/>
  <c r="L111" i="2"/>
  <c r="J111" i="2"/>
  <c r="M110" i="2"/>
  <c r="L110" i="2"/>
  <c r="J110" i="2"/>
  <c r="M109" i="2"/>
  <c r="L109" i="2"/>
  <c r="J109" i="2"/>
  <c r="M108" i="2"/>
  <c r="L108" i="2"/>
  <c r="J108" i="2"/>
  <c r="M107" i="2"/>
  <c r="L107" i="2"/>
  <c r="J107" i="2"/>
  <c r="M106" i="2"/>
  <c r="L106" i="2"/>
  <c r="J106" i="2"/>
  <c r="M105" i="2"/>
  <c r="L105" i="2"/>
  <c r="J105" i="2"/>
  <c r="M104" i="2"/>
  <c r="L104" i="2"/>
  <c r="J104" i="2"/>
  <c r="M103" i="2"/>
  <c r="L103" i="2"/>
  <c r="J103" i="2"/>
  <c r="M102" i="2"/>
  <c r="L102" i="2"/>
  <c r="J102" i="2"/>
  <c r="M101" i="2"/>
  <c r="L101" i="2"/>
  <c r="J101" i="2"/>
  <c r="M100" i="2"/>
  <c r="L100" i="2"/>
  <c r="J100" i="2"/>
  <c r="M99" i="2"/>
  <c r="L99" i="2"/>
  <c r="J99" i="2"/>
  <c r="M98" i="2"/>
  <c r="L98" i="2"/>
  <c r="J98" i="2"/>
  <c r="M97" i="2"/>
  <c r="L97" i="2"/>
  <c r="J97" i="2"/>
  <c r="M96" i="2"/>
  <c r="L96" i="2"/>
  <c r="J96" i="2"/>
  <c r="M95" i="2"/>
  <c r="L95" i="2"/>
  <c r="J95" i="2"/>
  <c r="M94" i="2"/>
  <c r="L94" i="2"/>
  <c r="J94" i="2"/>
  <c r="M93" i="2"/>
  <c r="L93" i="2"/>
  <c r="J93" i="2"/>
  <c r="M92" i="2"/>
  <c r="L92" i="2"/>
  <c r="J92" i="2"/>
  <c r="M91" i="2"/>
  <c r="L91" i="2"/>
  <c r="J91" i="2"/>
  <c r="M90" i="2"/>
  <c r="L90" i="2"/>
  <c r="J90" i="2"/>
  <c r="M89" i="2"/>
  <c r="L89" i="2"/>
  <c r="J89" i="2"/>
  <c r="M88" i="2"/>
  <c r="L88" i="2"/>
  <c r="J88" i="2"/>
  <c r="M87" i="2"/>
  <c r="L87" i="2"/>
  <c r="J87" i="2"/>
  <c r="M86" i="2"/>
  <c r="L86" i="2"/>
  <c r="J86" i="2"/>
  <c r="M85" i="2"/>
  <c r="L85" i="2"/>
  <c r="J85" i="2"/>
  <c r="M84" i="2"/>
  <c r="L84" i="2"/>
  <c r="J84" i="2"/>
  <c r="M83" i="2"/>
  <c r="L83" i="2"/>
  <c r="J83" i="2"/>
  <c r="M82" i="2"/>
  <c r="L82" i="2"/>
  <c r="J82" i="2"/>
  <c r="M81" i="2"/>
  <c r="L81" i="2"/>
  <c r="J81" i="2"/>
  <c r="M80" i="2"/>
  <c r="L80" i="2"/>
  <c r="J80" i="2"/>
  <c r="M79" i="2"/>
  <c r="L79" i="2"/>
  <c r="J79" i="2"/>
  <c r="M78" i="2"/>
  <c r="L78" i="2"/>
  <c r="J78" i="2"/>
  <c r="M77" i="2"/>
  <c r="L77" i="2"/>
  <c r="J77" i="2"/>
  <c r="M76" i="2"/>
  <c r="L76" i="2"/>
  <c r="J76" i="2"/>
  <c r="M75" i="2"/>
  <c r="L75" i="2"/>
  <c r="J75" i="2"/>
  <c r="M74" i="2"/>
  <c r="L74" i="2"/>
  <c r="J74" i="2"/>
  <c r="M73" i="2"/>
  <c r="L73" i="2"/>
  <c r="J73" i="2"/>
  <c r="M72" i="2"/>
  <c r="L72" i="2"/>
  <c r="J72" i="2"/>
  <c r="M71" i="2"/>
  <c r="L71" i="2"/>
  <c r="J71" i="2"/>
  <c r="M70" i="2"/>
  <c r="L70" i="2"/>
  <c r="J70" i="2"/>
  <c r="M69" i="2"/>
  <c r="L69" i="2"/>
  <c r="J69" i="2"/>
  <c r="M68" i="2"/>
  <c r="L68" i="2"/>
  <c r="J68" i="2"/>
  <c r="M67" i="2"/>
  <c r="L67" i="2"/>
  <c r="J67" i="2"/>
  <c r="M66" i="2"/>
  <c r="L66" i="2"/>
  <c r="J66" i="2"/>
  <c r="M65" i="2"/>
  <c r="L65" i="2"/>
  <c r="J65" i="2"/>
  <c r="M64" i="2"/>
  <c r="L64" i="2"/>
  <c r="J64" i="2"/>
  <c r="M63" i="2"/>
  <c r="L63" i="2"/>
  <c r="J63" i="2"/>
  <c r="M62" i="2"/>
  <c r="L62" i="2"/>
  <c r="J62" i="2"/>
  <c r="M61" i="2"/>
  <c r="L61" i="2"/>
  <c r="J61" i="2"/>
  <c r="M60" i="2"/>
  <c r="L60" i="2"/>
  <c r="J60" i="2"/>
  <c r="M59" i="2"/>
  <c r="L59" i="2"/>
  <c r="J59" i="2"/>
  <c r="M58" i="2"/>
  <c r="L58" i="2"/>
  <c r="J58" i="2"/>
  <c r="M57" i="2"/>
  <c r="L57" i="2"/>
  <c r="J57" i="2"/>
  <c r="M56" i="2"/>
  <c r="L56" i="2"/>
  <c r="J56" i="2"/>
  <c r="M55" i="2"/>
  <c r="L55" i="2"/>
  <c r="J55" i="2"/>
  <c r="M54" i="2"/>
  <c r="L54" i="2"/>
  <c r="J54" i="2"/>
  <c r="M53" i="2"/>
  <c r="L53" i="2"/>
  <c r="J53" i="2"/>
  <c r="M52" i="2"/>
  <c r="L52" i="2"/>
  <c r="J52" i="2"/>
  <c r="M51" i="2"/>
  <c r="L51" i="2"/>
  <c r="J51" i="2"/>
  <c r="M50" i="2"/>
  <c r="L50" i="2"/>
  <c r="J50" i="2"/>
  <c r="M49" i="2"/>
  <c r="L49" i="2"/>
  <c r="J49" i="2"/>
  <c r="M48" i="2"/>
  <c r="L48" i="2"/>
  <c r="J48" i="2"/>
  <c r="M47" i="2"/>
  <c r="L47" i="2"/>
  <c r="J47" i="2"/>
  <c r="M46" i="2"/>
  <c r="L46" i="2"/>
  <c r="J46" i="2"/>
  <c r="M45" i="2"/>
  <c r="L45" i="2"/>
  <c r="J45" i="2"/>
  <c r="M44" i="2"/>
  <c r="L44" i="2"/>
  <c r="J44" i="2"/>
  <c r="M43" i="2"/>
  <c r="L43" i="2"/>
  <c r="J43" i="2"/>
  <c r="M42" i="2"/>
  <c r="L42" i="2"/>
  <c r="J42" i="2"/>
  <c r="M41" i="2"/>
  <c r="L41" i="2"/>
  <c r="J41" i="2"/>
  <c r="M40" i="2"/>
  <c r="L40" i="2"/>
  <c r="J40" i="2"/>
  <c r="M39" i="2"/>
  <c r="L39" i="2"/>
  <c r="J39" i="2"/>
  <c r="M38" i="2"/>
  <c r="L38" i="2"/>
  <c r="J38" i="2"/>
  <c r="M37" i="2"/>
  <c r="L37" i="2"/>
  <c r="J37" i="2"/>
  <c r="M36" i="2"/>
  <c r="L36" i="2"/>
  <c r="J36" i="2"/>
  <c r="M35" i="2"/>
  <c r="L35" i="2"/>
  <c r="J35" i="2"/>
  <c r="M34" i="2"/>
  <c r="L34" i="2"/>
  <c r="J34" i="2"/>
  <c r="M33" i="2"/>
  <c r="L33" i="2"/>
  <c r="J33" i="2"/>
  <c r="M32" i="2"/>
  <c r="L32" i="2"/>
  <c r="J32" i="2"/>
  <c r="M31" i="2"/>
  <c r="L31" i="2"/>
  <c r="J31" i="2"/>
  <c r="M30" i="2"/>
  <c r="L30" i="2"/>
  <c r="J30" i="2"/>
  <c r="M29" i="2"/>
  <c r="L29" i="2"/>
  <c r="J29" i="2"/>
  <c r="M28" i="2"/>
  <c r="L28" i="2"/>
  <c r="J28" i="2"/>
  <c r="M27" i="2"/>
  <c r="L27" i="2"/>
  <c r="J27" i="2"/>
  <c r="M26" i="2"/>
  <c r="L26" i="2"/>
  <c r="J26" i="2"/>
  <c r="M25" i="2"/>
  <c r="L25" i="2"/>
  <c r="J25" i="2"/>
  <c r="M24" i="2"/>
  <c r="L24" i="2"/>
  <c r="J24" i="2"/>
  <c r="M23" i="2"/>
  <c r="L23" i="2"/>
  <c r="J23" i="2"/>
  <c r="M22" i="2"/>
  <c r="L22" i="2"/>
  <c r="J22" i="2"/>
  <c r="M21" i="2"/>
  <c r="L21" i="2"/>
  <c r="J21" i="2"/>
  <c r="M20" i="2"/>
  <c r="L20" i="2"/>
  <c r="J20" i="2"/>
  <c r="M19" i="2"/>
  <c r="L19" i="2"/>
  <c r="J19" i="2"/>
  <c r="M18" i="2"/>
  <c r="L18" i="2"/>
  <c r="J18" i="2"/>
  <c r="M17" i="2"/>
  <c r="L17" i="2"/>
  <c r="J17" i="2"/>
  <c r="M16" i="2"/>
  <c r="L16" i="2"/>
  <c r="J16" i="2"/>
  <c r="M15" i="2"/>
  <c r="L15" i="2"/>
  <c r="J15" i="2"/>
  <c r="M14" i="2"/>
  <c r="L14" i="2"/>
  <c r="J14" i="2"/>
  <c r="M13" i="2"/>
  <c r="L13" i="2"/>
  <c r="J13" i="2"/>
  <c r="M12" i="2"/>
  <c r="L12" i="2"/>
  <c r="J12" i="2"/>
  <c r="M11" i="2"/>
  <c r="L11" i="2"/>
  <c r="J11" i="2"/>
  <c r="M10" i="2"/>
  <c r="L10" i="2"/>
  <c r="J10" i="2"/>
  <c r="M9" i="2"/>
  <c r="L9" i="2"/>
  <c r="J9" i="2"/>
  <c r="M8" i="2"/>
  <c r="L8" i="2"/>
  <c r="J8" i="2"/>
  <c r="M7" i="2"/>
  <c r="L7" i="2"/>
  <c r="J7" i="2"/>
  <c r="M6" i="2"/>
  <c r="L6" i="2"/>
  <c r="J6" i="2"/>
  <c r="M5" i="2"/>
  <c r="L5" i="2"/>
  <c r="J5" i="2"/>
  <c r="M4" i="2"/>
  <c r="L4" i="2"/>
  <c r="J4" i="2"/>
  <c r="M3" i="2"/>
  <c r="L3" i="2"/>
  <c r="J3" i="2"/>
  <c r="M2" i="2"/>
  <c r="L2" i="2"/>
  <c r="J2" i="2"/>
  <c r="G26" i="1"/>
  <c r="J5" i="1"/>
  <c r="G5" i="1"/>
  <c r="D5" i="1"/>
  <c r="A5" i="1"/>
</calcChain>
</file>

<file path=xl/sharedStrings.xml><?xml version="1.0" encoding="utf-8"?>
<sst xmlns="http://schemas.openxmlformats.org/spreadsheetml/2006/main" count="913" uniqueCount="128">
  <si>
    <t>PR. 2 ANALYZER | SALES DASHBOARD</t>
  </si>
  <si>
    <t>Simulated dataset based on the attached screenshot; replace Dataset rows with the original source to use actual results.</t>
  </si>
  <si>
    <t>TOTAL SALES</t>
  </si>
  <si>
    <t>TOTAL PROFIT</t>
  </si>
  <si>
    <t>TRANSACTIONS</t>
  </si>
  <si>
    <t>AVG DISCOUNT</t>
  </si>
  <si>
    <t>KEY INSIGHTS</t>
  </si>
  <si>
    <t>Top 10 customers are highlighted in Analysis. Explore the discount impact on the What-If sheet. In Excel, insert native PivotTables, slicers, and a timeline from the SalesTransactions table when required.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</si>
  <si>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</si>
  <si>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</si>
  <si>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</si>
  <si>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</si>
  <si>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</si>
  <si>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</si>
  <si>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</si>
  <si>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</si>
  <si>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</si>
  <si>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Timestamp</t>
  </si>
  <si>
    <t>Sales Growth</t>
  </si>
  <si>
    <t>Customer Abbreviation</t>
  </si>
  <si>
    <t>Sales Rank</t>
  </si>
  <si>
    <t>CUST030</t>
  </si>
  <si>
    <t>Daniel Young</t>
  </si>
  <si>
    <t>Central</t>
  </si>
  <si>
    <t>Books</t>
  </si>
  <si>
    <t>East</t>
  </si>
  <si>
    <t>Clothing</t>
  </si>
  <si>
    <t>CUST002</t>
  </si>
  <si>
    <t>George Smith</t>
  </si>
  <si>
    <t>North</t>
  </si>
  <si>
    <t>Office Supplies</t>
  </si>
  <si>
    <t>CUST025</t>
  </si>
  <si>
    <t>Emily Davis</t>
  </si>
  <si>
    <t>South</t>
  </si>
  <si>
    <t>CUST020</t>
  </si>
  <si>
    <t>Linda Jackson</t>
  </si>
  <si>
    <t>Electronics</t>
  </si>
  <si>
    <t>CUST007</t>
  </si>
  <si>
    <t>Patricia Taylor</t>
  </si>
  <si>
    <t>West</t>
  </si>
  <si>
    <t>CUST015</t>
  </si>
  <si>
    <t>Sarah Clark</t>
  </si>
  <si>
    <t>CUST006</t>
  </si>
  <si>
    <t>David Lewis</t>
  </si>
  <si>
    <t>CUST017</t>
  </si>
  <si>
    <t>Michael Walker</t>
  </si>
  <si>
    <t>CUST022</t>
  </si>
  <si>
    <t>CUST005</t>
  </si>
  <si>
    <t>CUST008</t>
  </si>
  <si>
    <t>Richard Hall</t>
  </si>
  <si>
    <t>Furniture</t>
  </si>
  <si>
    <t>CUST019</t>
  </si>
  <si>
    <t>Nancy Allen</t>
  </si>
  <si>
    <t>CUST027</t>
  </si>
  <si>
    <t>CUST004</t>
  </si>
  <si>
    <t>William Martin</t>
  </si>
  <si>
    <t>CUST010</t>
  </si>
  <si>
    <t>CUST026</t>
  </si>
  <si>
    <t>CUST012</t>
  </si>
  <si>
    <t>Lisa Wright</t>
  </si>
  <si>
    <t>CUST003</t>
  </si>
  <si>
    <t>Mary Scott</t>
  </si>
  <si>
    <t>CUST023</t>
  </si>
  <si>
    <t>CUST028</t>
  </si>
  <si>
    <t>CUST011</t>
  </si>
  <si>
    <t>James Thomas</t>
  </si>
  <si>
    <t>CUST001</t>
  </si>
  <si>
    <t>Anna King</t>
  </si>
  <si>
    <t>CUST024</t>
  </si>
  <si>
    <t>CUST013</t>
  </si>
  <si>
    <t>Karen Moore</t>
  </si>
  <si>
    <t>CUST016</t>
  </si>
  <si>
    <t>Steven Anderson</t>
  </si>
  <si>
    <t>CUST014</t>
  </si>
  <si>
    <t>Robert Green</t>
  </si>
  <si>
    <t>CUST021</t>
  </si>
  <si>
    <t>CUST018</t>
  </si>
  <si>
    <t>John Wilson</t>
  </si>
  <si>
    <t>CUST029</t>
  </si>
  <si>
    <t>Emma Brown</t>
  </si>
  <si>
    <t>CUST009</t>
  </si>
  <si>
    <t>SALES ANALYSIS</t>
  </si>
  <si>
    <t>Product Category</t>
  </si>
  <si>
    <t>Month</t>
  </si>
  <si>
    <t>Customer</t>
  </si>
  <si>
    <t>Total Purchase</t>
  </si>
  <si>
    <t>Statistic</t>
  </si>
  <si>
    <t>Value</t>
  </si>
  <si>
    <t>Mean sales</t>
  </si>
  <si>
    <t>Median sales</t>
  </si>
  <si>
    <t>Sales standard deviation</t>
  </si>
  <si>
    <t>Mean profit</t>
  </si>
  <si>
    <t>Total profit</t>
  </si>
  <si>
    <t>Average discount</t>
  </si>
  <si>
    <t>Total transactions</t>
  </si>
  <si>
    <t>DISCOUNT SCENARIO ANALYSIS</t>
  </si>
  <si>
    <t>Scenario control</t>
  </si>
  <si>
    <t>Change the yellow discount input in B5. The modeled effect applies 45% of the discount change to sales as a profit sensitivity proxy. Actual profit behavior may differ.</t>
  </si>
  <si>
    <t>Current average discount</t>
  </si>
  <si>
    <t>New discount assumption</t>
  </si>
  <si>
    <t>Sales (fixed volume)</t>
  </si>
  <si>
    <t>Estimated profit at current discount</t>
  </si>
  <si>
    <t>Estimated profit at new discount</t>
  </si>
  <si>
    <t>PR. 2 ANALYZER | PROJECT README</t>
  </si>
  <si>
    <t>Project</t>
  </si>
  <si>
    <t>Sales analysis and interactive dashboard</t>
  </si>
  <si>
    <t>Data source</t>
  </si>
  <si>
    <t>Simulated 200-row dataset derived from screenshot field names/ranges; original Google Sheet was view-only and not downloadable in this workspace.</t>
  </si>
  <si>
    <t>Important</t>
  </si>
  <si>
    <t>Replace the rows in Dataset (A2:I201) with the original transactions before using submitted metrics. Keep the same nine columns and formats.</t>
  </si>
  <si>
    <t>Dashboard</t>
  </si>
  <si>
    <t>KPIs, region and time series charts, product mix, and automatically generated key insight.</t>
  </si>
  <si>
    <t>Dataset</t>
  </si>
  <si>
    <t>200 simulated transactions matching the visible schema. Includes NOW timestamp, customer abbreviation, and sales ranking.</t>
  </si>
  <si>
    <t>Analysis</t>
  </si>
  <si>
    <t>Formula-driven grouped sales summaries, customer totals, and descriptive statistics. Top 10 customers are conditionally highlighted.</t>
  </si>
  <si>
    <t>What-If</t>
  </si>
  <si>
    <t>Editable new discount assumption in B5; estimated profit sensitivity calculated from sales and current average discount.</t>
  </si>
  <si>
    <t>Pivot tables</t>
  </si>
  <si>
    <t>Analysis sheet provides pivot-style formula summaries. To create native pivots: select SalesTransactions in Dataset, then Insert &gt; PivotTable; use Region/Product_Category as Rows and Sum of Sales as Values.</t>
  </si>
  <si>
    <t>Charts &amp; dashboard</t>
  </si>
  <si>
    <t>Dashboard includes region bar chart, monthly sales line chart, and product category pie chart.</t>
  </si>
  <si>
    <t>Regression / ToolPak</t>
  </si>
  <si>
    <t>In Excel, enable Analysis ToolPak (File &gt; Options &gt; Add-ins &gt; Excel Add-ins &gt; Go &gt; Analysis ToolPak). Run Data &gt; Data Analysis &gt; Regression with Profit as Y and Sales as X; use descriptive statistics on Sales/Profit.</t>
  </si>
  <si>
    <t>What-if tools</t>
  </si>
  <si>
    <t>The editable formula-driven discount scenario shows one sensitivity case. Excel Scenario Manager and Goal Seek can be run from Data &gt; What-If Analysis.</t>
  </si>
  <si>
    <t>Refresh timestamp</t>
  </si>
  <si>
    <t>Dataset column J uses NOW(); it updates when workbook calculations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</si>
</sst>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yyyy\-mm\-dd"/>
    <numFmt numFmtId="166" formatCode="yyyy\-mm\-dd\ hh:mm"/>
    <numFmt numFmtId="167" formatCode="mmm\ yyyy"/>
    <numFmt numFmtId="168" formatCode="0.0%"/>
    <numFmt numFmtId="169" formatCode="\$#,##0"/>
  </numFmts>
  <fonts count="11">
    <font>
      <sz val="11"/>
      <name val="Carlito"/>
    </font>
    <font>
      <b/>
      <sz val="10"/>
      <color rgb="FFFFFFFF"/>
      <name val="Arial"/>
    </font>
    <font>
      <b/>
      <sz val="15"/>
      <color rgb="FFFFFFFF"/>
      <name val="Arial"/>
    </font>
    <font>
      <sz val="10"/>
      <color rgb="FF17365D"/>
      <name val="Arial"/>
    </font>
    <font>
      <b/>
      <sz val="16"/>
      <color rgb="FFFFFFFF"/>
      <name val="Arial"/>
    </font>
    <font>
      <i/>
      <sz val="10"/>
      <color rgb="FF64748B"/>
      <name val="Arial"/>
    </font>
    <font>
      <b/>
      <sz val="19"/>
      <color rgb="FF17365D"/>
      <name val="Arial"/>
    </font>
    <font>
      <b/>
      <sz val="11"/>
      <color rgb="FFFFFFFF"/>
      <name val="Arial"/>
    </font>
    <font>
      <b/>
      <sz val="11"/>
      <color rgb="FF17365D"/>
      <name val="Arial"/>
    </font>
    <font>
      <b/>
      <sz val="10"/>
      <color rgb="FF17365D"/>
      <name val="Arial"/>
    </font>
    <font>
      <sz val="10"/>
      <color rgb="FF263445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4" borderId="0" xfId="0" applyFont="1" applyFill="1"/>
    <xf numFmtId="168" fontId="0" fillId="0" borderId="0" xfId="0" applyNumberFormat="1"/>
    <xf numFmtId="168" fontId="0" fillId="5" borderId="0" xfId="0" applyNumberFormat="1" applyFill="1"/>
    <xf numFmtId="0" fontId="9" fillId="6" borderId="0" xfId="0" applyFont="1" applyFill="1"/>
    <xf numFmtId="0" fontId="10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169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3" fontId="6" fillId="6" borderId="0" xfId="0" applyNumberFormat="1" applyFont="1" applyFill="1" applyAlignment="1">
      <alignment horizontal="center" vertical="center"/>
    </xf>
    <xf numFmtId="168" fontId="6" fillId="6" borderId="0" xfId="0" applyNumberFormat="1" applyFont="1" applyFill="1" applyAlignment="1">
      <alignment horizontal="center" vertical="center"/>
    </xf>
    <xf numFmtId="0" fontId="7" fillId="4" borderId="0" xfId="0" applyFont="1" applyFill="1"/>
    <xf numFmtId="0" fontId="8" fillId="7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3" borderId="0" xfId="0" applyFont="1" applyFill="1"/>
    <xf numFmtId="0" fontId="3" fillId="6" borderId="0" xfId="0" applyFont="1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2"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0"/>
          <c:cat>
            <c:strRef>
              <c:f>Analysis!$A$4:$A$8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Analysis!$B$4:$B$8</c:f>
              <c:numCache>
                <c:formatCode>\$#,##0.00</c:formatCode>
                <c:ptCount val="5"/>
                <c:pt idx="0">
                  <c:v>39877.18</c:v>
                </c:pt>
                <c:pt idx="1">
                  <c:v>40262.530000000013</c:v>
                </c:pt>
                <c:pt idx="2">
                  <c:v>36219.859999999993</c:v>
                </c:pt>
                <c:pt idx="3">
                  <c:v>37084.560000000005</c:v>
                </c:pt>
                <c:pt idx="4">
                  <c:v>47272.150000000009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C-4E7A-872B-53BEE57E5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numRef>
              <c:f>Analysis!$G$4:$G$16</c:f>
              <c:numCache>
                <c:formatCode>mmm\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Analysis!$H$4:$H$16</c:f>
              <c:numCache>
                <c:formatCode>\$#,##0.00</c:formatCode>
                <c:ptCount val="13"/>
                <c:pt idx="0">
                  <c:v>16931.910000000003</c:v>
                </c:pt>
                <c:pt idx="1">
                  <c:v>20842.240000000002</c:v>
                </c:pt>
                <c:pt idx="2">
                  <c:v>17943.509999999998</c:v>
                </c:pt>
                <c:pt idx="3">
                  <c:v>22256.17</c:v>
                </c:pt>
                <c:pt idx="4">
                  <c:v>10109.860000000002</c:v>
                </c:pt>
                <c:pt idx="5">
                  <c:v>23294.48</c:v>
                </c:pt>
                <c:pt idx="6">
                  <c:v>9095.4000000000015</c:v>
                </c:pt>
                <c:pt idx="7">
                  <c:v>17818.670000000002</c:v>
                </c:pt>
                <c:pt idx="8">
                  <c:v>16844.390000000003</c:v>
                </c:pt>
                <c:pt idx="9">
                  <c:v>5975.7899999999991</c:v>
                </c:pt>
                <c:pt idx="10">
                  <c:v>16225.039999999999</c:v>
                </c:pt>
                <c:pt idx="11">
                  <c:v>21996.060000000005</c:v>
                </c:pt>
                <c:pt idx="12">
                  <c:v>1382.76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E-4D2E-9F9B-C1D51FD98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mix by product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Analysis!$D$4:$D$8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Analysis!$E$4:$E$8</c:f>
              <c:numCache>
                <c:formatCode>\$#,##0.00</c:formatCode>
                <c:ptCount val="5"/>
                <c:pt idx="0">
                  <c:v>42009.47</c:v>
                </c:pt>
                <c:pt idx="1">
                  <c:v>35506.619999999995</c:v>
                </c:pt>
                <c:pt idx="2">
                  <c:v>40748.070000000007</c:v>
                </c:pt>
                <c:pt idx="3">
                  <c:v>43085.22</c:v>
                </c:pt>
                <c:pt idx="4">
                  <c:v>39366.9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7-4336-B4C1-D0411207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M201" totalsRowShown="0">
  <tableColumns count="13">
    <tableColumn id="1" xr3:uid="{00000000-0010-0000-0000-000001000000}" name="Customer_ID"/>
    <tableColumn id="2" xr3:uid="{00000000-0010-0000-0000-000002000000}" name="Customer_Name"/>
    <tableColumn id="3" xr3:uid="{00000000-0010-0000-0000-000003000000}" name="Region"/>
    <tableColumn id="4" xr3:uid="{00000000-0010-0000-0000-000004000000}" name="Product_Category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/>
    <tableColumn id="9" xr3:uid="{00000000-0010-0000-0000-000009000000}" name="Profit"/>
    <tableColumn id="10" xr3:uid="{00000000-0010-0000-0000-00000A000000}" name="Timestamp"/>
    <tableColumn id="11" xr3:uid="{00000000-0010-0000-0000-00000B000000}" name="Sales Growth"/>
    <tableColumn id="12" xr3:uid="{00000000-0010-0000-0000-00000C000000}" name="Customer Abbreviation"/>
    <tableColumn id="13" xr3:uid="{00000000-0010-0000-0000-00000D000000}" name="Sales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workbookViewId="0">
      <selection sqref="A1:L1"/>
    </sheetView>
  </sheetViews>
  <sheetFormatPr defaultRowHeight="14.25"/>
  <cols>
    <col min="1" max="12" width="14" customWidth="1"/>
  </cols>
  <sheetData>
    <row r="1" spans="1:12" ht="2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>
      <c r="A4" s="16" t="s">
        <v>2</v>
      </c>
      <c r="B4" s="16"/>
      <c r="C4" s="16"/>
      <c r="D4" s="16" t="s">
        <v>3</v>
      </c>
      <c r="E4" s="16"/>
      <c r="F4" s="16"/>
      <c r="G4" s="16" t="s">
        <v>4</v>
      </c>
      <c r="H4" s="16"/>
      <c r="I4" s="16"/>
      <c r="J4" s="16" t="s">
        <v>5</v>
      </c>
      <c r="K4" s="16"/>
      <c r="L4" s="16"/>
    </row>
    <row r="5" spans="1:12">
      <c r="A5" s="17">
        <f>SUM(Dataset!$E$2:$E$201)</f>
        <v>200716.28</v>
      </c>
      <c r="B5" s="18"/>
      <c r="C5" s="18"/>
      <c r="D5" s="17">
        <f>SUM(Dataset!$I$2:$I$201)</f>
        <v>47821.379999999983</v>
      </c>
      <c r="E5" s="18"/>
      <c r="F5" s="18"/>
      <c r="G5" s="19">
        <f>COUNT(Dataset!$E$2:$E$201)</f>
        <v>200</v>
      </c>
      <c r="H5" s="18"/>
      <c r="I5" s="18"/>
      <c r="J5" s="20">
        <f>AVERAGE(Dataset!$G$2:$G$201)</f>
        <v>9.6500000000000044E-2</v>
      </c>
      <c r="K5" s="18"/>
      <c r="L5" s="18"/>
    </row>
    <row r="6" spans="1:1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25" spans="7:12" ht="15">
      <c r="G25" s="21" t="s">
        <v>6</v>
      </c>
      <c r="H25" s="21"/>
      <c r="I25" s="21"/>
      <c r="J25" s="21"/>
      <c r="K25" s="21"/>
      <c r="L25" s="21"/>
    </row>
    <row r="26" spans="7:12">
      <c r="G26" s="22" t="str">
        <f>"Top customer: "&amp;INDEX(Analysis!$J$4:$J$33,MATCH(MAX(Analysis!$K$4:$K$33),Analysis!$K$4:$K$33,0))&amp;" | Top product: "&amp;INDEX(Analysis!$D$4:$D$8,MATCH(MAX(Analysis!$E$4:$E$8),Analysis!$E$4:$E$8,0))&amp;" | Best region: "&amp;INDEX(Analysis!$A$4:$A$8,MATCH(MAX(Analysis!$B$4:$B$8),Analysis!$B$4:$B$8,0))</f>
        <v>Top customer: CUST027 | Top product: Furniture | Best region: Central</v>
      </c>
      <c r="H26" s="22"/>
      <c r="I26" s="22"/>
      <c r="J26" s="22"/>
      <c r="K26" s="22"/>
      <c r="L26" s="22"/>
    </row>
    <row r="27" spans="7:12">
      <c r="G27" s="22"/>
      <c r="H27" s="22"/>
      <c r="I27" s="22"/>
      <c r="J27" s="22"/>
      <c r="K27" s="22"/>
      <c r="L27" s="22"/>
    </row>
    <row r="28" spans="7:12">
      <c r="G28" s="22"/>
      <c r="H28" s="22"/>
      <c r="I28" s="22"/>
      <c r="J28" s="22"/>
      <c r="K28" s="22"/>
      <c r="L28" s="22"/>
    </row>
    <row r="29" spans="7:12">
      <c r="G29" s="22"/>
      <c r="H29" s="22"/>
      <c r="I29" s="22"/>
      <c r="J29" s="22"/>
      <c r="K29" s="22"/>
      <c r="L29" s="22"/>
    </row>
    <row r="31" spans="7:12">
      <c r="G31" s="23" t="s">
        <v>7</v>
      </c>
      <c r="H31" s="23"/>
      <c r="I31" s="23"/>
      <c r="J31" s="23"/>
      <c r="K31" s="23"/>
      <c r="L31" s="23"/>
    </row>
    <row r="32" spans="7:12">
      <c r="G32" s="23"/>
      <c r="H32" s="23"/>
      <c r="I32" s="23"/>
      <c r="J32" s="23"/>
      <c r="K32" s="23"/>
      <c r="L32" s="23"/>
    </row>
    <row r="33" spans="7:12">
      <c r="G33" s="23"/>
      <c r="H33" s="23"/>
      <c r="I33" s="23"/>
      <c r="J33" s="23"/>
      <c r="K33" s="23"/>
      <c r="L33" s="23"/>
    </row>
    <row r="34" spans="7:12">
      <c r="G34" s="23"/>
      <c r="H34" s="23"/>
      <c r="I34" s="23"/>
      <c r="J34" s="23"/>
      <c r="K34" s="23"/>
      <c r="L34" s="23"/>
    </row>
  </sheetData>
  <mergeCells count="13">
    <mergeCell ref="G26:L29"/>
    <mergeCell ref="G31:L34"/>
    <mergeCell ref="A5:C6"/>
    <mergeCell ref="D5:F6"/>
    <mergeCell ref="G5:I6"/>
    <mergeCell ref="J5:L6"/>
    <mergeCell ref="G25:L25"/>
    <mergeCell ref="A1:L1"/>
    <mergeCell ref="A2:L2"/>
    <mergeCell ref="A4:C4"/>
    <mergeCell ref="D4:F4"/>
    <mergeCell ref="G4:I4"/>
    <mergeCell ref="J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21" customWidth="1"/>
    <col min="3" max="3" width="13" customWidth="1"/>
    <col min="4" max="4" width="22" customWidth="1"/>
    <col min="5" max="5" width="14" customWidth="1"/>
    <col min="6" max="7" width="12" customWidth="1"/>
    <col min="8" max="8" width="16" customWidth="1"/>
    <col min="9" max="9" width="14" customWidth="1"/>
    <col min="10" max="10" width="20" customWidth="1"/>
    <col min="11" max="11" width="16" customWidth="1"/>
    <col min="12" max="12" width="20" customWidth="1"/>
    <col min="13" max="13" width="14" customWidth="1"/>
  </cols>
  <sheetData>
    <row r="1" spans="1:1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>
      <c r="A2" t="s">
        <v>21</v>
      </c>
      <c r="B2" t="s">
        <v>22</v>
      </c>
      <c r="C2" t="s">
        <v>23</v>
      </c>
      <c r="D2" t="s">
        <v>24</v>
      </c>
      <c r="E2" s="3">
        <v>655.28</v>
      </c>
      <c r="F2">
        <v>10</v>
      </c>
      <c r="G2" s="4">
        <v>0.1</v>
      </c>
      <c r="H2" s="5">
        <v>45394.916213171295</v>
      </c>
      <c r="I2" s="3">
        <v>138.93</v>
      </c>
      <c r="J2" s="6">
        <f t="shared" ref="J2:J33" ca="1" si="0">NOW()</f>
        <v>46323.798738425925</v>
      </c>
      <c r="L2" t="str">
        <f t="shared" ref="L2:L33" si="1">LEFT(B2,1)&amp;"."&amp;LEFT(RIGHT(B2,LEN(B2)-FIND(" ",B2)),1)&amp;"."</f>
        <v>D.Y.</v>
      </c>
      <c r="M2">
        <f t="shared" ref="M2:M33" si="2">_xlfn.RANK.EQ(E2,$E$2:$E$201,0)</f>
        <v>160</v>
      </c>
    </row>
    <row r="3" spans="1:13">
      <c r="A3" t="s">
        <v>21</v>
      </c>
      <c r="B3" t="s">
        <v>22</v>
      </c>
      <c r="C3" t="s">
        <v>25</v>
      </c>
      <c r="D3" t="s">
        <v>26</v>
      </c>
      <c r="E3" s="3">
        <v>1207.8900000000001</v>
      </c>
      <c r="F3">
        <v>10</v>
      </c>
      <c r="G3" s="4">
        <v>0</v>
      </c>
      <c r="H3" s="5">
        <v>45400.28379065972</v>
      </c>
      <c r="I3" s="3">
        <v>306.20999999999998</v>
      </c>
      <c r="J3" s="6">
        <f t="shared" ca="1" si="0"/>
        <v>46323.798738425925</v>
      </c>
      <c r="L3" t="str">
        <f t="shared" si="1"/>
        <v>D.Y.</v>
      </c>
      <c r="M3">
        <f t="shared" si="2"/>
        <v>68</v>
      </c>
    </row>
    <row r="4" spans="1:13">
      <c r="A4" t="s">
        <v>27</v>
      </c>
      <c r="B4" t="s">
        <v>28</v>
      </c>
      <c r="C4" t="s">
        <v>29</v>
      </c>
      <c r="D4" t="s">
        <v>30</v>
      </c>
      <c r="E4" s="3">
        <v>830.6</v>
      </c>
      <c r="F4">
        <v>14</v>
      </c>
      <c r="G4" s="4">
        <v>0.2</v>
      </c>
      <c r="H4" s="5">
        <v>45402.230647638891</v>
      </c>
      <c r="I4" s="3">
        <v>119.89</v>
      </c>
      <c r="J4" s="6">
        <f t="shared" ca="1" si="0"/>
        <v>46323.798738425925</v>
      </c>
      <c r="L4" t="str">
        <f t="shared" si="1"/>
        <v>G.S.</v>
      </c>
      <c r="M4">
        <f t="shared" si="2"/>
        <v>132</v>
      </c>
    </row>
    <row r="5" spans="1:13">
      <c r="A5" t="s">
        <v>31</v>
      </c>
      <c r="B5" t="s">
        <v>32</v>
      </c>
      <c r="C5" t="s">
        <v>33</v>
      </c>
      <c r="D5" t="s">
        <v>24</v>
      </c>
      <c r="E5" s="3">
        <v>950.84</v>
      </c>
      <c r="F5">
        <v>18</v>
      </c>
      <c r="G5" s="4">
        <v>0.15</v>
      </c>
      <c r="H5" s="5">
        <v>45404.195914664349</v>
      </c>
      <c r="I5" s="3">
        <v>207.49</v>
      </c>
      <c r="J5" s="6">
        <f t="shared" ca="1" si="0"/>
        <v>46323.798738425925</v>
      </c>
      <c r="L5" t="str">
        <f t="shared" si="1"/>
        <v>E.D.</v>
      </c>
      <c r="M5">
        <f t="shared" si="2"/>
        <v>107</v>
      </c>
    </row>
    <row r="6" spans="1:13">
      <c r="A6" t="s">
        <v>34</v>
      </c>
      <c r="B6" t="s">
        <v>35</v>
      </c>
      <c r="C6" t="s">
        <v>25</v>
      </c>
      <c r="D6" t="s">
        <v>36</v>
      </c>
      <c r="E6" s="3">
        <v>1002.03</v>
      </c>
      <c r="F6">
        <v>5</v>
      </c>
      <c r="G6" s="4">
        <v>0.15</v>
      </c>
      <c r="H6" s="5">
        <v>45406.237139004632</v>
      </c>
      <c r="I6" s="3">
        <v>218.62</v>
      </c>
      <c r="J6" s="6">
        <f t="shared" ca="1" si="0"/>
        <v>46323.798738425925</v>
      </c>
      <c r="L6" t="str">
        <f t="shared" si="1"/>
        <v>L.J.</v>
      </c>
      <c r="M6">
        <f t="shared" si="2"/>
        <v>97</v>
      </c>
    </row>
    <row r="7" spans="1:13">
      <c r="A7" t="s">
        <v>37</v>
      </c>
      <c r="B7" t="s">
        <v>38</v>
      </c>
      <c r="C7" t="s">
        <v>39</v>
      </c>
      <c r="D7" t="s">
        <v>26</v>
      </c>
      <c r="E7" s="3">
        <v>883.88</v>
      </c>
      <c r="F7">
        <v>14</v>
      </c>
      <c r="G7" s="4">
        <v>0.15</v>
      </c>
      <c r="H7" s="5">
        <v>45406.418788541669</v>
      </c>
      <c r="I7" s="3">
        <v>205.49</v>
      </c>
      <c r="J7" s="6">
        <f t="shared" ca="1" si="0"/>
        <v>46323.798738425925</v>
      </c>
      <c r="L7" t="str">
        <f t="shared" si="1"/>
        <v>P.T.</v>
      </c>
      <c r="M7">
        <f t="shared" si="2"/>
        <v>123</v>
      </c>
    </row>
    <row r="8" spans="1:13">
      <c r="A8" t="s">
        <v>40</v>
      </c>
      <c r="B8" t="s">
        <v>41</v>
      </c>
      <c r="C8" t="s">
        <v>33</v>
      </c>
      <c r="D8" t="s">
        <v>24</v>
      </c>
      <c r="E8" s="3">
        <v>1127.72</v>
      </c>
      <c r="F8">
        <v>19</v>
      </c>
      <c r="G8" s="4">
        <v>0.15</v>
      </c>
      <c r="H8" s="5">
        <v>45406.817016180554</v>
      </c>
      <c r="I8" s="3">
        <v>201.85</v>
      </c>
      <c r="J8" s="6">
        <f t="shared" ca="1" si="0"/>
        <v>46323.798738425925</v>
      </c>
      <c r="L8" t="str">
        <f t="shared" si="1"/>
        <v>S.C.</v>
      </c>
      <c r="M8">
        <f t="shared" si="2"/>
        <v>79</v>
      </c>
    </row>
    <row r="9" spans="1:13">
      <c r="A9" t="s">
        <v>27</v>
      </c>
      <c r="B9" t="s">
        <v>28</v>
      </c>
      <c r="C9" t="s">
        <v>23</v>
      </c>
      <c r="D9" t="s">
        <v>26</v>
      </c>
      <c r="E9" s="3">
        <v>1343.8</v>
      </c>
      <c r="F9">
        <v>9</v>
      </c>
      <c r="G9" s="4">
        <v>0</v>
      </c>
      <c r="H9" s="5">
        <v>45407.474313842591</v>
      </c>
      <c r="I9" s="3">
        <v>379.25</v>
      </c>
      <c r="J9" s="6">
        <f t="shared" ca="1" si="0"/>
        <v>46323.798738425925</v>
      </c>
      <c r="L9" t="str">
        <f t="shared" si="1"/>
        <v>G.S.</v>
      </c>
      <c r="M9">
        <f t="shared" si="2"/>
        <v>42</v>
      </c>
    </row>
    <row r="10" spans="1:13">
      <c r="A10" t="s">
        <v>31</v>
      </c>
      <c r="B10" t="s">
        <v>32</v>
      </c>
      <c r="C10" t="s">
        <v>29</v>
      </c>
      <c r="D10" t="s">
        <v>24</v>
      </c>
      <c r="E10" s="3">
        <v>414.59</v>
      </c>
      <c r="F10">
        <v>5</v>
      </c>
      <c r="G10" s="4">
        <v>0.2</v>
      </c>
      <c r="H10" s="5">
        <v>45407.634919467593</v>
      </c>
      <c r="I10" s="3">
        <v>87.76</v>
      </c>
      <c r="J10" s="6">
        <f t="shared" ca="1" si="0"/>
        <v>46323.798738425925</v>
      </c>
      <c r="L10" t="str">
        <f t="shared" si="1"/>
        <v>E.D.</v>
      </c>
      <c r="M10">
        <f t="shared" si="2"/>
        <v>199</v>
      </c>
    </row>
    <row r="11" spans="1:13">
      <c r="A11" t="s">
        <v>42</v>
      </c>
      <c r="B11" t="s">
        <v>43</v>
      </c>
      <c r="C11" t="s">
        <v>39</v>
      </c>
      <c r="D11" t="s">
        <v>26</v>
      </c>
      <c r="E11" s="3">
        <v>543.39</v>
      </c>
      <c r="F11">
        <v>6</v>
      </c>
      <c r="G11" s="4">
        <v>0.05</v>
      </c>
      <c r="H11" s="5">
        <v>45408.084231817127</v>
      </c>
      <c r="I11" s="3">
        <v>119.46</v>
      </c>
      <c r="J11" s="6">
        <f t="shared" ca="1" si="0"/>
        <v>46323.798738425925</v>
      </c>
      <c r="L11" t="str">
        <f t="shared" si="1"/>
        <v>D.L.</v>
      </c>
      <c r="M11">
        <f t="shared" si="2"/>
        <v>181</v>
      </c>
    </row>
    <row r="12" spans="1:13">
      <c r="A12" t="s">
        <v>44</v>
      </c>
      <c r="B12" t="s">
        <v>45</v>
      </c>
      <c r="C12" t="s">
        <v>23</v>
      </c>
      <c r="D12" t="s">
        <v>30</v>
      </c>
      <c r="E12" s="3">
        <v>1045.78</v>
      </c>
      <c r="F12">
        <v>6</v>
      </c>
      <c r="G12" s="4">
        <v>0.15</v>
      </c>
      <c r="H12" s="5">
        <v>45409.927350636572</v>
      </c>
      <c r="I12" s="3">
        <v>217.49</v>
      </c>
      <c r="J12" s="6">
        <f t="shared" ca="1" si="0"/>
        <v>46323.798738425925</v>
      </c>
      <c r="L12" t="str">
        <f t="shared" si="1"/>
        <v>M.W.</v>
      </c>
      <c r="M12">
        <f t="shared" si="2"/>
        <v>92</v>
      </c>
    </row>
    <row r="13" spans="1:13">
      <c r="A13" t="s">
        <v>34</v>
      </c>
      <c r="B13" t="s">
        <v>35</v>
      </c>
      <c r="C13" t="s">
        <v>33</v>
      </c>
      <c r="D13" t="s">
        <v>24</v>
      </c>
      <c r="E13" s="3">
        <v>1002.01</v>
      </c>
      <c r="F13">
        <v>3</v>
      </c>
      <c r="G13" s="4">
        <v>0.05</v>
      </c>
      <c r="H13" s="5">
        <v>45409.974231400462</v>
      </c>
      <c r="I13" s="3">
        <v>241.87</v>
      </c>
      <c r="J13" s="6">
        <f t="shared" ca="1" si="0"/>
        <v>46323.798738425925</v>
      </c>
      <c r="L13" t="str">
        <f t="shared" si="1"/>
        <v>L.J.</v>
      </c>
      <c r="M13">
        <f t="shared" si="2"/>
        <v>98</v>
      </c>
    </row>
    <row r="14" spans="1:13">
      <c r="A14" t="s">
        <v>46</v>
      </c>
      <c r="B14" t="s">
        <v>28</v>
      </c>
      <c r="C14" t="s">
        <v>39</v>
      </c>
      <c r="D14" t="s">
        <v>36</v>
      </c>
      <c r="E14" s="3">
        <v>1461.28</v>
      </c>
      <c r="F14">
        <v>3</v>
      </c>
      <c r="G14" s="4">
        <v>0.05</v>
      </c>
      <c r="H14" s="5">
        <v>45409.994152372688</v>
      </c>
      <c r="I14" s="3">
        <v>337.33</v>
      </c>
      <c r="J14" s="6">
        <f t="shared" ca="1" si="0"/>
        <v>46323.798738425925</v>
      </c>
      <c r="L14" t="str">
        <f t="shared" si="1"/>
        <v>G.S.</v>
      </c>
      <c r="M14">
        <f t="shared" si="2"/>
        <v>21</v>
      </c>
    </row>
    <row r="15" spans="1:13">
      <c r="A15" t="s">
        <v>47</v>
      </c>
      <c r="B15" t="s">
        <v>32</v>
      </c>
      <c r="C15" t="s">
        <v>25</v>
      </c>
      <c r="D15" t="s">
        <v>24</v>
      </c>
      <c r="E15" s="3">
        <v>999.67</v>
      </c>
      <c r="F15">
        <v>7</v>
      </c>
      <c r="G15" s="4">
        <v>0.05</v>
      </c>
      <c r="H15" s="5">
        <v>45410.143341736111</v>
      </c>
      <c r="I15" s="3">
        <v>237.59</v>
      </c>
      <c r="J15" s="6">
        <f t="shared" ca="1" si="0"/>
        <v>46323.798738425925</v>
      </c>
      <c r="L15" t="str">
        <f t="shared" si="1"/>
        <v>E.D.</v>
      </c>
      <c r="M15">
        <f t="shared" si="2"/>
        <v>99</v>
      </c>
    </row>
    <row r="16" spans="1:13">
      <c r="A16" t="s">
        <v>46</v>
      </c>
      <c r="B16" t="s">
        <v>28</v>
      </c>
      <c r="C16" t="s">
        <v>29</v>
      </c>
      <c r="D16" t="s">
        <v>36</v>
      </c>
      <c r="E16" s="3">
        <v>1346.35</v>
      </c>
      <c r="F16">
        <v>1</v>
      </c>
      <c r="G16" s="4">
        <v>0.15</v>
      </c>
      <c r="H16" s="5">
        <v>45410.209107268522</v>
      </c>
      <c r="I16" s="3">
        <v>320.91000000000003</v>
      </c>
      <c r="J16" s="6">
        <f t="shared" ca="1" si="0"/>
        <v>46323.798738425925</v>
      </c>
      <c r="L16" t="str">
        <f t="shared" si="1"/>
        <v>G.S.</v>
      </c>
      <c r="M16">
        <f t="shared" si="2"/>
        <v>40</v>
      </c>
    </row>
    <row r="17" spans="1:13">
      <c r="A17" t="s">
        <v>48</v>
      </c>
      <c r="B17" t="s">
        <v>49</v>
      </c>
      <c r="C17" t="s">
        <v>39</v>
      </c>
      <c r="D17" t="s">
        <v>26</v>
      </c>
      <c r="E17" s="3">
        <v>527.55999999999995</v>
      </c>
      <c r="F17">
        <v>10</v>
      </c>
      <c r="G17" s="4">
        <v>0.1</v>
      </c>
      <c r="H17" s="5">
        <v>45411.719732395832</v>
      </c>
      <c r="I17" s="3">
        <v>96.63</v>
      </c>
      <c r="J17" s="6">
        <f t="shared" ca="1" si="0"/>
        <v>46323.798738425925</v>
      </c>
      <c r="L17" t="str">
        <f t="shared" si="1"/>
        <v>R.H.</v>
      </c>
      <c r="M17">
        <f t="shared" si="2"/>
        <v>183</v>
      </c>
    </row>
    <row r="18" spans="1:13">
      <c r="A18" t="s">
        <v>42</v>
      </c>
      <c r="B18" t="s">
        <v>43</v>
      </c>
      <c r="C18" t="s">
        <v>39</v>
      </c>
      <c r="D18" t="s">
        <v>50</v>
      </c>
      <c r="E18" s="3">
        <v>1589.24</v>
      </c>
      <c r="F18">
        <v>12</v>
      </c>
      <c r="G18" s="4">
        <v>0</v>
      </c>
      <c r="H18" s="5">
        <v>45412.412478425926</v>
      </c>
      <c r="I18" s="3">
        <v>447.56</v>
      </c>
      <c r="J18" s="6">
        <f t="shared" ca="1" si="0"/>
        <v>46323.798738425925</v>
      </c>
      <c r="L18" t="str">
        <f t="shared" si="1"/>
        <v>D.L.</v>
      </c>
      <c r="M18">
        <f t="shared" si="2"/>
        <v>2</v>
      </c>
    </row>
    <row r="19" spans="1:13">
      <c r="A19" t="s">
        <v>42</v>
      </c>
      <c r="B19" t="s">
        <v>43</v>
      </c>
      <c r="C19" t="s">
        <v>23</v>
      </c>
      <c r="D19" t="s">
        <v>50</v>
      </c>
      <c r="E19" s="3">
        <v>432.37</v>
      </c>
      <c r="F19">
        <v>3</v>
      </c>
      <c r="G19" s="4">
        <v>0.1</v>
      </c>
      <c r="H19" s="5">
        <v>45413.351883738425</v>
      </c>
      <c r="I19" s="3">
        <v>78.16</v>
      </c>
      <c r="J19" s="6">
        <f t="shared" ca="1" si="0"/>
        <v>46323.798738425925</v>
      </c>
      <c r="L19" t="str">
        <f t="shared" si="1"/>
        <v>D.L.</v>
      </c>
      <c r="M19">
        <f t="shared" si="2"/>
        <v>195</v>
      </c>
    </row>
    <row r="20" spans="1:13">
      <c r="A20" t="s">
        <v>51</v>
      </c>
      <c r="B20" t="s">
        <v>52</v>
      </c>
      <c r="C20" t="s">
        <v>39</v>
      </c>
      <c r="D20" t="s">
        <v>24</v>
      </c>
      <c r="E20" s="3">
        <v>905.88</v>
      </c>
      <c r="F20">
        <v>14</v>
      </c>
      <c r="G20" s="4">
        <v>0.05</v>
      </c>
      <c r="H20" s="5">
        <v>45414.452468229167</v>
      </c>
      <c r="I20" s="3">
        <v>193.63</v>
      </c>
      <c r="J20" s="6">
        <f t="shared" ca="1" si="0"/>
        <v>46323.798738425925</v>
      </c>
      <c r="L20" t="str">
        <f t="shared" si="1"/>
        <v>N.A.</v>
      </c>
      <c r="M20">
        <f t="shared" si="2"/>
        <v>116</v>
      </c>
    </row>
    <row r="21" spans="1:13">
      <c r="A21" t="s">
        <v>53</v>
      </c>
      <c r="B21" t="s">
        <v>38</v>
      </c>
      <c r="C21" t="s">
        <v>29</v>
      </c>
      <c r="D21" t="s">
        <v>26</v>
      </c>
      <c r="E21" s="3">
        <v>477.16</v>
      </c>
      <c r="F21">
        <v>18</v>
      </c>
      <c r="G21" s="4">
        <v>0</v>
      </c>
      <c r="H21" s="5">
        <v>45417.22079028935</v>
      </c>
      <c r="I21" s="3">
        <v>134.96</v>
      </c>
      <c r="J21" s="6">
        <f t="shared" ca="1" si="0"/>
        <v>46323.798738425925</v>
      </c>
      <c r="L21" t="str">
        <f t="shared" si="1"/>
        <v>P.T.</v>
      </c>
      <c r="M21">
        <f t="shared" si="2"/>
        <v>188</v>
      </c>
    </row>
    <row r="22" spans="1:13">
      <c r="A22" t="s">
        <v>54</v>
      </c>
      <c r="B22" t="s">
        <v>55</v>
      </c>
      <c r="C22" t="s">
        <v>39</v>
      </c>
      <c r="D22" t="s">
        <v>50</v>
      </c>
      <c r="E22" s="3">
        <v>1201.9000000000001</v>
      </c>
      <c r="F22">
        <v>3</v>
      </c>
      <c r="G22" s="4">
        <v>0.05</v>
      </c>
      <c r="H22" s="5">
        <v>45418.126777916666</v>
      </c>
      <c r="I22" s="3">
        <v>292.14999999999998</v>
      </c>
      <c r="J22" s="6">
        <f t="shared" ca="1" si="0"/>
        <v>46323.798738425925</v>
      </c>
      <c r="L22" t="str">
        <f t="shared" si="1"/>
        <v>W.M.</v>
      </c>
      <c r="M22">
        <f t="shared" si="2"/>
        <v>70</v>
      </c>
    </row>
    <row r="23" spans="1:13">
      <c r="A23" t="s">
        <v>47</v>
      </c>
      <c r="B23" t="s">
        <v>32</v>
      </c>
      <c r="C23" t="s">
        <v>29</v>
      </c>
      <c r="D23" t="s">
        <v>50</v>
      </c>
      <c r="E23" s="3">
        <v>1278.3</v>
      </c>
      <c r="F23">
        <v>13</v>
      </c>
      <c r="G23" s="4">
        <v>0</v>
      </c>
      <c r="H23" s="5">
        <v>45418.806516087963</v>
      </c>
      <c r="I23" s="3">
        <v>392.82</v>
      </c>
      <c r="J23" s="6">
        <f t="shared" ca="1" si="0"/>
        <v>46323.798738425925</v>
      </c>
      <c r="L23" t="str">
        <f t="shared" si="1"/>
        <v>E.D.</v>
      </c>
      <c r="M23">
        <f t="shared" si="2"/>
        <v>52</v>
      </c>
    </row>
    <row r="24" spans="1:13">
      <c r="A24" t="s">
        <v>40</v>
      </c>
      <c r="B24" t="s">
        <v>41</v>
      </c>
      <c r="C24" t="s">
        <v>33</v>
      </c>
      <c r="D24" t="s">
        <v>24</v>
      </c>
      <c r="E24" s="3">
        <v>595.59</v>
      </c>
      <c r="F24">
        <v>18</v>
      </c>
      <c r="G24" s="4">
        <v>0.2</v>
      </c>
      <c r="H24" s="5">
        <v>45419.358330011572</v>
      </c>
      <c r="I24" s="3">
        <v>142.94</v>
      </c>
      <c r="J24" s="6">
        <f t="shared" ca="1" si="0"/>
        <v>46323.798738425925</v>
      </c>
      <c r="L24" t="str">
        <f t="shared" si="1"/>
        <v>S.C.</v>
      </c>
      <c r="M24">
        <f t="shared" si="2"/>
        <v>171</v>
      </c>
    </row>
    <row r="25" spans="1:13">
      <c r="A25" t="s">
        <v>56</v>
      </c>
      <c r="B25" t="s">
        <v>22</v>
      </c>
      <c r="C25" t="s">
        <v>29</v>
      </c>
      <c r="D25" t="s">
        <v>50</v>
      </c>
      <c r="E25" s="3">
        <v>1558.05</v>
      </c>
      <c r="F25">
        <v>13</v>
      </c>
      <c r="G25" s="4">
        <v>0</v>
      </c>
      <c r="H25" s="5">
        <v>45419.492330196757</v>
      </c>
      <c r="I25" s="3">
        <v>420.23</v>
      </c>
      <c r="J25" s="6">
        <f t="shared" ca="1" si="0"/>
        <v>46323.798738425925</v>
      </c>
      <c r="L25" t="str">
        <f t="shared" si="1"/>
        <v>D.Y.</v>
      </c>
      <c r="M25">
        <f t="shared" si="2"/>
        <v>6</v>
      </c>
    </row>
    <row r="26" spans="1:13">
      <c r="A26" t="s">
        <v>44</v>
      </c>
      <c r="B26" t="s">
        <v>45</v>
      </c>
      <c r="C26" t="s">
        <v>33</v>
      </c>
      <c r="D26" t="s">
        <v>50</v>
      </c>
      <c r="E26" s="3">
        <v>1466.59</v>
      </c>
      <c r="F26">
        <v>8</v>
      </c>
      <c r="G26" s="4">
        <v>0.1</v>
      </c>
      <c r="H26" s="5">
        <v>45419.962857881947</v>
      </c>
      <c r="I26" s="3">
        <v>308.83</v>
      </c>
      <c r="J26" s="6">
        <f t="shared" ca="1" si="0"/>
        <v>46323.798738425925</v>
      </c>
      <c r="L26" t="str">
        <f t="shared" si="1"/>
        <v>M.W.</v>
      </c>
      <c r="M26">
        <f t="shared" si="2"/>
        <v>20</v>
      </c>
    </row>
    <row r="27" spans="1:13">
      <c r="A27" t="s">
        <v>57</v>
      </c>
      <c r="B27" t="s">
        <v>43</v>
      </c>
      <c r="C27" t="s">
        <v>23</v>
      </c>
      <c r="D27" t="s">
        <v>30</v>
      </c>
      <c r="E27" s="3">
        <v>1218.48</v>
      </c>
      <c r="F27">
        <v>3</v>
      </c>
      <c r="G27" s="4">
        <v>0.2</v>
      </c>
      <c r="H27" s="5">
        <v>45420.079273090276</v>
      </c>
      <c r="I27" s="3">
        <v>253.84</v>
      </c>
      <c r="J27" s="6">
        <f t="shared" ca="1" si="0"/>
        <v>46323.798738425925</v>
      </c>
      <c r="L27" t="str">
        <f t="shared" si="1"/>
        <v>D.L.</v>
      </c>
      <c r="M27">
        <f t="shared" si="2"/>
        <v>65</v>
      </c>
    </row>
    <row r="28" spans="1:13">
      <c r="A28" t="s">
        <v>57</v>
      </c>
      <c r="B28" t="s">
        <v>43</v>
      </c>
      <c r="C28" t="s">
        <v>23</v>
      </c>
      <c r="D28" t="s">
        <v>30</v>
      </c>
      <c r="E28" s="3">
        <v>1510.02</v>
      </c>
      <c r="F28">
        <v>17</v>
      </c>
      <c r="G28" s="4">
        <v>0.1</v>
      </c>
      <c r="H28" s="5">
        <v>45422.285276747687</v>
      </c>
      <c r="I28" s="3">
        <v>387.27</v>
      </c>
      <c r="J28" s="6">
        <f t="shared" ca="1" si="0"/>
        <v>46323.798738425925</v>
      </c>
      <c r="L28" t="str">
        <f t="shared" si="1"/>
        <v>D.L.</v>
      </c>
      <c r="M28">
        <f t="shared" si="2"/>
        <v>11</v>
      </c>
    </row>
    <row r="29" spans="1:13">
      <c r="A29" t="s">
        <v>58</v>
      </c>
      <c r="B29" t="s">
        <v>59</v>
      </c>
      <c r="C29" t="s">
        <v>39</v>
      </c>
      <c r="D29" t="s">
        <v>24</v>
      </c>
      <c r="E29" s="3">
        <v>1496.92</v>
      </c>
      <c r="F29">
        <v>13</v>
      </c>
      <c r="G29" s="4">
        <v>0.15</v>
      </c>
      <c r="H29" s="5">
        <v>45429.882324502316</v>
      </c>
      <c r="I29" s="3">
        <v>308.39</v>
      </c>
      <c r="J29" s="6">
        <f t="shared" ca="1" si="0"/>
        <v>46323.798738425925</v>
      </c>
      <c r="L29" t="str">
        <f t="shared" si="1"/>
        <v>L.W.</v>
      </c>
      <c r="M29">
        <f t="shared" si="2"/>
        <v>13</v>
      </c>
    </row>
    <row r="30" spans="1:13">
      <c r="A30" t="s">
        <v>44</v>
      </c>
      <c r="B30" t="s">
        <v>45</v>
      </c>
      <c r="C30" t="s">
        <v>33</v>
      </c>
      <c r="D30" t="s">
        <v>26</v>
      </c>
      <c r="E30" s="3">
        <v>671.04</v>
      </c>
      <c r="F30">
        <v>5</v>
      </c>
      <c r="G30" s="4">
        <v>0.05</v>
      </c>
      <c r="H30" s="5">
        <v>45433.301183761578</v>
      </c>
      <c r="I30" s="3">
        <v>167.68</v>
      </c>
      <c r="J30" s="6">
        <f t="shared" ca="1" si="0"/>
        <v>46323.798738425925</v>
      </c>
      <c r="L30" t="str">
        <f t="shared" si="1"/>
        <v>M.W.</v>
      </c>
      <c r="M30">
        <f t="shared" si="2"/>
        <v>155</v>
      </c>
    </row>
    <row r="31" spans="1:13">
      <c r="A31" t="s">
        <v>51</v>
      </c>
      <c r="B31" t="s">
        <v>52</v>
      </c>
      <c r="C31" t="s">
        <v>25</v>
      </c>
      <c r="D31" t="s">
        <v>50</v>
      </c>
      <c r="E31" s="3">
        <v>1398.26</v>
      </c>
      <c r="F31">
        <v>2</v>
      </c>
      <c r="G31" s="4">
        <v>0.1</v>
      </c>
      <c r="H31" s="5">
        <v>45433.857190868053</v>
      </c>
      <c r="I31" s="3">
        <v>320.73</v>
      </c>
      <c r="J31" s="6">
        <f t="shared" ca="1" si="0"/>
        <v>46323.798738425925</v>
      </c>
      <c r="L31" t="str">
        <f t="shared" si="1"/>
        <v>N.A.</v>
      </c>
      <c r="M31">
        <f t="shared" si="2"/>
        <v>31</v>
      </c>
    </row>
    <row r="32" spans="1:13">
      <c r="A32" t="s">
        <v>60</v>
      </c>
      <c r="B32" t="s">
        <v>61</v>
      </c>
      <c r="C32" t="s">
        <v>23</v>
      </c>
      <c r="D32" t="s">
        <v>24</v>
      </c>
      <c r="E32" s="3">
        <v>1470.06</v>
      </c>
      <c r="F32">
        <v>12</v>
      </c>
      <c r="G32" s="4">
        <v>0.1</v>
      </c>
      <c r="H32" s="5">
        <v>45435.488526562498</v>
      </c>
      <c r="I32" s="3">
        <v>308.95999999999998</v>
      </c>
      <c r="J32" s="6">
        <f t="shared" ca="1" si="0"/>
        <v>46323.798738425925</v>
      </c>
      <c r="L32" t="str">
        <f t="shared" si="1"/>
        <v>M.S.</v>
      </c>
      <c r="M32">
        <f t="shared" si="2"/>
        <v>19</v>
      </c>
    </row>
    <row r="33" spans="1:13">
      <c r="A33" t="s">
        <v>62</v>
      </c>
      <c r="B33" t="s">
        <v>61</v>
      </c>
      <c r="C33" t="s">
        <v>25</v>
      </c>
      <c r="D33" t="s">
        <v>36</v>
      </c>
      <c r="E33" s="3">
        <v>1324.66</v>
      </c>
      <c r="F33">
        <v>1</v>
      </c>
      <c r="G33" s="4">
        <v>0.15</v>
      </c>
      <c r="H33" s="5">
        <v>45436.277148877314</v>
      </c>
      <c r="I33" s="3">
        <v>297.44</v>
      </c>
      <c r="J33" s="6">
        <f t="shared" ca="1" si="0"/>
        <v>46323.798738425925</v>
      </c>
      <c r="L33" t="str">
        <f t="shared" si="1"/>
        <v>M.S.</v>
      </c>
      <c r="M33">
        <f t="shared" si="2"/>
        <v>46</v>
      </c>
    </row>
    <row r="34" spans="1:13">
      <c r="A34" t="s">
        <v>63</v>
      </c>
      <c r="B34" t="s">
        <v>49</v>
      </c>
      <c r="C34" t="s">
        <v>33</v>
      </c>
      <c r="D34" t="s">
        <v>26</v>
      </c>
      <c r="E34" s="3">
        <v>1537.75</v>
      </c>
      <c r="F34">
        <v>16</v>
      </c>
      <c r="G34" s="4">
        <v>0.05</v>
      </c>
      <c r="H34" s="5">
        <v>45439.467914918983</v>
      </c>
      <c r="I34" s="3">
        <v>430.03</v>
      </c>
      <c r="J34" s="6">
        <f t="shared" ref="J34:J65" ca="1" si="3">NOW()</f>
        <v>46323.798738425925</v>
      </c>
      <c r="L34" t="str">
        <f t="shared" ref="L34:L65" si="4">LEFT(B34,1)&amp;"."&amp;LEFT(RIGHT(B34,LEN(B34)-FIND(" ",B34)),1)&amp;"."</f>
        <v>R.H.</v>
      </c>
      <c r="M34">
        <f t="shared" ref="M34:M65" si="5">_xlfn.RANK.EQ(E34,$E$2:$E$201,0)</f>
        <v>9</v>
      </c>
    </row>
    <row r="35" spans="1:13">
      <c r="A35" t="s">
        <v>64</v>
      </c>
      <c r="B35" t="s">
        <v>65</v>
      </c>
      <c r="C35" t="s">
        <v>33</v>
      </c>
      <c r="D35" t="s">
        <v>36</v>
      </c>
      <c r="E35" s="3">
        <v>812.55</v>
      </c>
      <c r="F35">
        <v>16</v>
      </c>
      <c r="G35" s="4">
        <v>0.15</v>
      </c>
      <c r="H35" s="5">
        <v>45439.516882187498</v>
      </c>
      <c r="I35" s="3">
        <v>198.63</v>
      </c>
      <c r="J35" s="6">
        <f t="shared" ca="1" si="3"/>
        <v>46323.798738425925</v>
      </c>
      <c r="L35" t="str">
        <f t="shared" si="4"/>
        <v>J.T.</v>
      </c>
      <c r="M35">
        <f t="shared" si="5"/>
        <v>136</v>
      </c>
    </row>
    <row r="36" spans="1:13">
      <c r="A36" t="s">
        <v>66</v>
      </c>
      <c r="B36" t="s">
        <v>67</v>
      </c>
      <c r="C36" t="s">
        <v>23</v>
      </c>
      <c r="D36" t="s">
        <v>26</v>
      </c>
      <c r="E36" s="3">
        <v>638.29</v>
      </c>
      <c r="F36">
        <v>5</v>
      </c>
      <c r="G36" s="4">
        <v>0.15</v>
      </c>
      <c r="H36" s="5">
        <v>45441.79439314815</v>
      </c>
      <c r="I36" s="3">
        <v>159.30000000000001</v>
      </c>
      <c r="J36" s="6">
        <f t="shared" ca="1" si="3"/>
        <v>46323.798738425925</v>
      </c>
      <c r="L36" t="str">
        <f t="shared" si="4"/>
        <v>A.K.</v>
      </c>
      <c r="M36">
        <f t="shared" si="5"/>
        <v>164</v>
      </c>
    </row>
    <row r="37" spans="1:13">
      <c r="A37" t="s">
        <v>68</v>
      </c>
      <c r="B37" t="s">
        <v>55</v>
      </c>
      <c r="C37" t="s">
        <v>39</v>
      </c>
      <c r="D37" t="s">
        <v>24</v>
      </c>
      <c r="E37" s="3">
        <v>848.37</v>
      </c>
      <c r="F37">
        <v>9</v>
      </c>
      <c r="G37" s="4">
        <v>0.2</v>
      </c>
      <c r="H37" s="5">
        <v>45443.197710266206</v>
      </c>
      <c r="I37" s="3">
        <v>177.91</v>
      </c>
      <c r="J37" s="6">
        <f t="shared" ca="1" si="3"/>
        <v>46323.798738425925</v>
      </c>
      <c r="L37" t="str">
        <f t="shared" si="4"/>
        <v>W.M.</v>
      </c>
      <c r="M37">
        <f t="shared" si="5"/>
        <v>128</v>
      </c>
    </row>
    <row r="38" spans="1:13">
      <c r="A38" t="s">
        <v>21</v>
      </c>
      <c r="B38" t="s">
        <v>22</v>
      </c>
      <c r="C38" t="s">
        <v>23</v>
      </c>
      <c r="D38" t="s">
        <v>30</v>
      </c>
      <c r="E38" s="3">
        <v>1579.86</v>
      </c>
      <c r="F38">
        <v>9</v>
      </c>
      <c r="G38" s="4">
        <v>0.1</v>
      </c>
      <c r="H38" s="5">
        <v>45445.216192199077</v>
      </c>
      <c r="I38" s="3">
        <v>358.09</v>
      </c>
      <c r="J38" s="6">
        <f t="shared" ca="1" si="3"/>
        <v>46323.798738425925</v>
      </c>
      <c r="L38" t="str">
        <f t="shared" si="4"/>
        <v>D.Y.</v>
      </c>
      <c r="M38">
        <f t="shared" si="5"/>
        <v>4</v>
      </c>
    </row>
    <row r="39" spans="1:13">
      <c r="A39" t="s">
        <v>44</v>
      </c>
      <c r="B39" t="s">
        <v>45</v>
      </c>
      <c r="C39" t="s">
        <v>23</v>
      </c>
      <c r="D39" t="s">
        <v>30</v>
      </c>
      <c r="E39" s="3">
        <v>457.77</v>
      </c>
      <c r="F39">
        <v>11</v>
      </c>
      <c r="G39" s="4">
        <v>0.2</v>
      </c>
      <c r="H39" s="5">
        <v>45445.606339432874</v>
      </c>
      <c r="I39" s="3">
        <v>95.46</v>
      </c>
      <c r="J39" s="6">
        <f t="shared" ca="1" si="3"/>
        <v>46323.798738425925</v>
      </c>
      <c r="L39" t="str">
        <f t="shared" si="4"/>
        <v>M.W.</v>
      </c>
      <c r="M39">
        <f t="shared" si="5"/>
        <v>192</v>
      </c>
    </row>
    <row r="40" spans="1:13">
      <c r="A40" t="s">
        <v>48</v>
      </c>
      <c r="B40" t="s">
        <v>49</v>
      </c>
      <c r="C40" t="s">
        <v>29</v>
      </c>
      <c r="D40" t="s">
        <v>26</v>
      </c>
      <c r="E40" s="3">
        <v>1306.3699999999999</v>
      </c>
      <c r="F40">
        <v>12</v>
      </c>
      <c r="G40" s="4">
        <v>0</v>
      </c>
      <c r="H40" s="5">
        <v>45447.324470439817</v>
      </c>
      <c r="I40" s="3">
        <v>385.23</v>
      </c>
      <c r="J40" s="6">
        <f t="shared" ca="1" si="3"/>
        <v>46323.798738425925</v>
      </c>
      <c r="L40" t="str">
        <f t="shared" si="4"/>
        <v>R.H.</v>
      </c>
      <c r="M40">
        <f t="shared" si="5"/>
        <v>49</v>
      </c>
    </row>
    <row r="41" spans="1:13">
      <c r="A41" t="s">
        <v>69</v>
      </c>
      <c r="B41" t="s">
        <v>70</v>
      </c>
      <c r="C41" t="s">
        <v>25</v>
      </c>
      <c r="D41" t="s">
        <v>50</v>
      </c>
      <c r="E41" s="3">
        <v>915.77</v>
      </c>
      <c r="F41">
        <v>16</v>
      </c>
      <c r="G41" s="4">
        <v>0.2</v>
      </c>
      <c r="H41" s="5">
        <v>45448.969294120368</v>
      </c>
      <c r="I41" s="3">
        <v>136.79</v>
      </c>
      <c r="J41" s="6">
        <f t="shared" ca="1" si="3"/>
        <v>46323.798738425925</v>
      </c>
      <c r="L41" t="str">
        <f t="shared" si="4"/>
        <v>K.M.</v>
      </c>
      <c r="M41">
        <f t="shared" si="5"/>
        <v>113</v>
      </c>
    </row>
    <row r="42" spans="1:13">
      <c r="A42" t="s">
        <v>47</v>
      </c>
      <c r="B42" t="s">
        <v>32</v>
      </c>
      <c r="C42" t="s">
        <v>39</v>
      </c>
      <c r="D42" t="s">
        <v>30</v>
      </c>
      <c r="E42" s="3">
        <v>666.98</v>
      </c>
      <c r="F42">
        <v>12</v>
      </c>
      <c r="G42" s="4">
        <v>0</v>
      </c>
      <c r="H42" s="5">
        <v>45448.993891053244</v>
      </c>
      <c r="I42" s="3">
        <v>192.17</v>
      </c>
      <c r="J42" s="6">
        <f t="shared" ca="1" si="3"/>
        <v>46323.798738425925</v>
      </c>
      <c r="L42" t="str">
        <f t="shared" si="4"/>
        <v>E.D.</v>
      </c>
      <c r="M42">
        <f t="shared" si="5"/>
        <v>157</v>
      </c>
    </row>
    <row r="43" spans="1:13">
      <c r="A43" t="s">
        <v>68</v>
      </c>
      <c r="B43" t="s">
        <v>55</v>
      </c>
      <c r="C43" t="s">
        <v>25</v>
      </c>
      <c r="D43" t="s">
        <v>36</v>
      </c>
      <c r="E43" s="3">
        <v>1206.8</v>
      </c>
      <c r="F43">
        <v>16</v>
      </c>
      <c r="G43" s="4">
        <v>0.05</v>
      </c>
      <c r="H43" s="5">
        <v>45451.164525011576</v>
      </c>
      <c r="I43" s="3">
        <v>328.44</v>
      </c>
      <c r="J43" s="6">
        <f t="shared" ca="1" si="3"/>
        <v>46323.798738425925</v>
      </c>
      <c r="L43" t="str">
        <f t="shared" si="4"/>
        <v>W.M.</v>
      </c>
      <c r="M43">
        <f t="shared" si="5"/>
        <v>69</v>
      </c>
    </row>
    <row r="44" spans="1:13">
      <c r="A44" t="s">
        <v>40</v>
      </c>
      <c r="B44" t="s">
        <v>41</v>
      </c>
      <c r="C44" t="s">
        <v>29</v>
      </c>
      <c r="D44" t="s">
        <v>50</v>
      </c>
      <c r="E44" s="3">
        <v>463.25</v>
      </c>
      <c r="F44">
        <v>19</v>
      </c>
      <c r="G44" s="4">
        <v>0.1</v>
      </c>
      <c r="H44" s="5">
        <v>45451.37994590278</v>
      </c>
      <c r="I44" s="3">
        <v>93.6</v>
      </c>
      <c r="J44" s="6">
        <f t="shared" ca="1" si="3"/>
        <v>46323.798738425925</v>
      </c>
      <c r="L44" t="str">
        <f t="shared" si="4"/>
        <v>S.C.</v>
      </c>
      <c r="M44">
        <f t="shared" si="5"/>
        <v>190</v>
      </c>
    </row>
    <row r="45" spans="1:13">
      <c r="A45" t="s">
        <v>47</v>
      </c>
      <c r="B45" t="s">
        <v>32</v>
      </c>
      <c r="C45" t="s">
        <v>23</v>
      </c>
      <c r="D45" t="s">
        <v>50</v>
      </c>
      <c r="E45" s="3">
        <v>1098.8699999999999</v>
      </c>
      <c r="F45">
        <v>16</v>
      </c>
      <c r="G45" s="4">
        <v>0.05</v>
      </c>
      <c r="H45" s="5">
        <v>45453.793052685185</v>
      </c>
      <c r="I45" s="3">
        <v>273.57</v>
      </c>
      <c r="J45" s="6">
        <f t="shared" ca="1" si="3"/>
        <v>46323.798738425925</v>
      </c>
      <c r="L45" t="str">
        <f t="shared" si="4"/>
        <v>E.D.</v>
      </c>
      <c r="M45">
        <f t="shared" si="5"/>
        <v>82</v>
      </c>
    </row>
    <row r="46" spans="1:13">
      <c r="A46" t="s">
        <v>71</v>
      </c>
      <c r="B46" t="s">
        <v>72</v>
      </c>
      <c r="C46" t="s">
        <v>23</v>
      </c>
      <c r="D46" t="s">
        <v>24</v>
      </c>
      <c r="E46" s="3">
        <v>757.48</v>
      </c>
      <c r="F46">
        <v>15</v>
      </c>
      <c r="G46" s="4">
        <v>0.1</v>
      </c>
      <c r="H46" s="5">
        <v>45455.158924351854</v>
      </c>
      <c r="I46" s="3">
        <v>195.6</v>
      </c>
      <c r="J46" s="6">
        <f t="shared" ca="1" si="3"/>
        <v>46323.798738425925</v>
      </c>
      <c r="L46" t="str">
        <f t="shared" si="4"/>
        <v>S.A.</v>
      </c>
      <c r="M46">
        <f t="shared" si="5"/>
        <v>146</v>
      </c>
    </row>
    <row r="47" spans="1:13">
      <c r="A47" t="s">
        <v>73</v>
      </c>
      <c r="B47" t="s">
        <v>74</v>
      </c>
      <c r="C47" t="s">
        <v>23</v>
      </c>
      <c r="D47" t="s">
        <v>24</v>
      </c>
      <c r="E47" s="3">
        <v>887.27</v>
      </c>
      <c r="F47">
        <v>9</v>
      </c>
      <c r="G47" s="4">
        <v>0.15</v>
      </c>
      <c r="H47" s="5">
        <v>45456.304042233794</v>
      </c>
      <c r="I47" s="3">
        <v>225.15</v>
      </c>
      <c r="J47" s="6">
        <f t="shared" ca="1" si="3"/>
        <v>46323.798738425925</v>
      </c>
      <c r="L47" t="str">
        <f t="shared" si="4"/>
        <v>R.G.</v>
      </c>
      <c r="M47">
        <f t="shared" si="5"/>
        <v>122</v>
      </c>
    </row>
    <row r="48" spans="1:13">
      <c r="A48" t="s">
        <v>53</v>
      </c>
      <c r="B48" t="s">
        <v>38</v>
      </c>
      <c r="C48" t="s">
        <v>23</v>
      </c>
      <c r="D48" t="s">
        <v>26</v>
      </c>
      <c r="E48" s="3">
        <v>924.99</v>
      </c>
      <c r="F48">
        <v>3</v>
      </c>
      <c r="G48" s="4">
        <v>0</v>
      </c>
      <c r="H48" s="5">
        <v>45456.696492476854</v>
      </c>
      <c r="I48" s="3">
        <v>296.05</v>
      </c>
      <c r="J48" s="6">
        <f t="shared" ca="1" si="3"/>
        <v>46323.798738425925</v>
      </c>
      <c r="L48" t="str">
        <f t="shared" si="4"/>
        <v>P.T.</v>
      </c>
      <c r="M48">
        <f t="shared" si="5"/>
        <v>112</v>
      </c>
    </row>
    <row r="49" spans="1:13">
      <c r="A49" t="s">
        <v>56</v>
      </c>
      <c r="B49" t="s">
        <v>22</v>
      </c>
      <c r="C49" t="s">
        <v>23</v>
      </c>
      <c r="D49" t="s">
        <v>24</v>
      </c>
      <c r="E49" s="3">
        <v>964.59</v>
      </c>
      <c r="F49">
        <v>6</v>
      </c>
      <c r="G49" s="4">
        <v>0.15</v>
      </c>
      <c r="H49" s="5">
        <v>45461.881405763888</v>
      </c>
      <c r="I49" s="3">
        <v>212.06</v>
      </c>
      <c r="J49" s="6">
        <f t="shared" ca="1" si="3"/>
        <v>46323.798738425925</v>
      </c>
      <c r="L49" t="str">
        <f t="shared" si="4"/>
        <v>D.Y.</v>
      </c>
      <c r="M49">
        <f t="shared" si="5"/>
        <v>105</v>
      </c>
    </row>
    <row r="50" spans="1:13">
      <c r="A50" t="s">
        <v>54</v>
      </c>
      <c r="B50" t="s">
        <v>55</v>
      </c>
      <c r="C50" t="s">
        <v>23</v>
      </c>
      <c r="D50" t="s">
        <v>36</v>
      </c>
      <c r="E50" s="3">
        <v>1226.75</v>
      </c>
      <c r="F50">
        <v>17</v>
      </c>
      <c r="G50" s="4">
        <v>0</v>
      </c>
      <c r="H50" s="5">
        <v>45463.049355462965</v>
      </c>
      <c r="I50" s="3">
        <v>346.13</v>
      </c>
      <c r="J50" s="6">
        <f t="shared" ca="1" si="3"/>
        <v>46323.798738425925</v>
      </c>
      <c r="L50" t="str">
        <f t="shared" si="4"/>
        <v>W.M.</v>
      </c>
      <c r="M50">
        <f t="shared" si="5"/>
        <v>64</v>
      </c>
    </row>
    <row r="51" spans="1:13">
      <c r="A51" t="s">
        <v>57</v>
      </c>
      <c r="B51" t="s">
        <v>43</v>
      </c>
      <c r="C51" t="s">
        <v>33</v>
      </c>
      <c r="D51" t="s">
        <v>26</v>
      </c>
      <c r="E51" s="3">
        <v>936.55</v>
      </c>
      <c r="F51">
        <v>19</v>
      </c>
      <c r="G51" s="4">
        <v>0.15</v>
      </c>
      <c r="H51" s="5">
        <v>45465.632652488428</v>
      </c>
      <c r="I51" s="3">
        <v>172.42</v>
      </c>
      <c r="J51" s="6">
        <f t="shared" ca="1" si="3"/>
        <v>46323.798738425925</v>
      </c>
      <c r="L51" t="str">
        <f t="shared" si="4"/>
        <v>D.L.</v>
      </c>
      <c r="M51">
        <f t="shared" si="5"/>
        <v>111</v>
      </c>
    </row>
    <row r="52" spans="1:13">
      <c r="A52" t="s">
        <v>48</v>
      </c>
      <c r="B52" t="s">
        <v>49</v>
      </c>
      <c r="C52" t="s">
        <v>23</v>
      </c>
      <c r="D52" t="s">
        <v>50</v>
      </c>
      <c r="E52" s="3">
        <v>972.98</v>
      </c>
      <c r="F52">
        <v>7</v>
      </c>
      <c r="G52" s="4">
        <v>0.05</v>
      </c>
      <c r="H52" s="5">
        <v>45467.848135856482</v>
      </c>
      <c r="I52" s="3">
        <v>231.14</v>
      </c>
      <c r="J52" s="6">
        <f t="shared" ca="1" si="3"/>
        <v>46323.798738425925</v>
      </c>
      <c r="L52" t="str">
        <f t="shared" si="4"/>
        <v>R.H.</v>
      </c>
      <c r="M52">
        <f t="shared" si="5"/>
        <v>104</v>
      </c>
    </row>
    <row r="53" spans="1:13">
      <c r="A53" t="s">
        <v>58</v>
      </c>
      <c r="B53" t="s">
        <v>59</v>
      </c>
      <c r="C53" t="s">
        <v>39</v>
      </c>
      <c r="D53" t="s">
        <v>26</v>
      </c>
      <c r="E53" s="3">
        <v>1217.22</v>
      </c>
      <c r="F53">
        <v>5</v>
      </c>
      <c r="G53" s="4">
        <v>0.15</v>
      </c>
      <c r="H53" s="5">
        <v>45468.909454687499</v>
      </c>
      <c r="I53" s="3">
        <v>261.26</v>
      </c>
      <c r="J53" s="6">
        <f t="shared" ca="1" si="3"/>
        <v>46323.798738425925</v>
      </c>
      <c r="L53" t="str">
        <f t="shared" si="4"/>
        <v>L.W.</v>
      </c>
      <c r="M53">
        <f t="shared" si="5"/>
        <v>66</v>
      </c>
    </row>
    <row r="54" spans="1:13">
      <c r="A54" t="s">
        <v>40</v>
      </c>
      <c r="B54" t="s">
        <v>41</v>
      </c>
      <c r="C54" t="s">
        <v>23</v>
      </c>
      <c r="D54" t="s">
        <v>30</v>
      </c>
      <c r="E54" s="3">
        <v>943.39</v>
      </c>
      <c r="F54">
        <v>15</v>
      </c>
      <c r="G54" s="4">
        <v>0.05</v>
      </c>
      <c r="H54" s="5">
        <v>45471.851811157409</v>
      </c>
      <c r="I54" s="3">
        <v>271.7</v>
      </c>
      <c r="J54" s="6">
        <f t="shared" ca="1" si="3"/>
        <v>46323.798738425925</v>
      </c>
      <c r="L54" t="str">
        <f t="shared" si="4"/>
        <v>S.C.</v>
      </c>
      <c r="M54">
        <f t="shared" si="5"/>
        <v>109</v>
      </c>
    </row>
    <row r="55" spans="1:13">
      <c r="A55" t="s">
        <v>60</v>
      </c>
      <c r="B55" t="s">
        <v>61</v>
      </c>
      <c r="C55" t="s">
        <v>29</v>
      </c>
      <c r="D55" t="s">
        <v>36</v>
      </c>
      <c r="E55" s="3">
        <v>1416.62</v>
      </c>
      <c r="F55">
        <v>2</v>
      </c>
      <c r="G55" s="4">
        <v>0.15</v>
      </c>
      <c r="H55" s="5">
        <v>45473.478895856482</v>
      </c>
      <c r="I55" s="3">
        <v>300.39</v>
      </c>
      <c r="J55" s="6">
        <f t="shared" ca="1" si="3"/>
        <v>46323.798738425925</v>
      </c>
      <c r="L55" t="str">
        <f t="shared" si="4"/>
        <v>M.S.</v>
      </c>
      <c r="M55">
        <f t="shared" si="5"/>
        <v>27</v>
      </c>
    </row>
    <row r="56" spans="1:13">
      <c r="A56" t="s">
        <v>63</v>
      </c>
      <c r="B56" t="s">
        <v>49</v>
      </c>
      <c r="C56" t="s">
        <v>39</v>
      </c>
      <c r="D56" t="s">
        <v>30</v>
      </c>
      <c r="E56" s="3">
        <v>1191.53</v>
      </c>
      <c r="F56">
        <v>13</v>
      </c>
      <c r="G56" s="4">
        <v>0.1</v>
      </c>
      <c r="H56" s="5">
        <v>45474.026812465279</v>
      </c>
      <c r="I56" s="3">
        <v>315.87</v>
      </c>
      <c r="J56" s="6">
        <f t="shared" ca="1" si="3"/>
        <v>46323.798738425925</v>
      </c>
      <c r="L56" t="str">
        <f t="shared" si="4"/>
        <v>R.H.</v>
      </c>
      <c r="M56">
        <f t="shared" si="5"/>
        <v>75</v>
      </c>
    </row>
    <row r="57" spans="1:13">
      <c r="A57" t="s">
        <v>62</v>
      </c>
      <c r="B57" t="s">
        <v>61</v>
      </c>
      <c r="C57" t="s">
        <v>33</v>
      </c>
      <c r="D57" t="s">
        <v>24</v>
      </c>
      <c r="E57" s="3">
        <v>1229.93</v>
      </c>
      <c r="F57">
        <v>5</v>
      </c>
      <c r="G57" s="4">
        <v>0.1</v>
      </c>
      <c r="H57" s="5">
        <v>45476.428205104166</v>
      </c>
      <c r="I57" s="3">
        <v>308.33</v>
      </c>
      <c r="J57" s="6">
        <f t="shared" ca="1" si="3"/>
        <v>46323.798738425925</v>
      </c>
      <c r="L57" t="str">
        <f t="shared" si="4"/>
        <v>M.S.</v>
      </c>
      <c r="M57">
        <f t="shared" si="5"/>
        <v>63</v>
      </c>
    </row>
    <row r="58" spans="1:13">
      <c r="A58" t="s">
        <v>73</v>
      </c>
      <c r="B58" t="s">
        <v>74</v>
      </c>
      <c r="C58" t="s">
        <v>29</v>
      </c>
      <c r="D58" t="s">
        <v>36</v>
      </c>
      <c r="E58" s="3">
        <v>1395.5</v>
      </c>
      <c r="F58">
        <v>9</v>
      </c>
      <c r="G58" s="4">
        <v>0.1</v>
      </c>
      <c r="H58" s="5">
        <v>45481.052228877314</v>
      </c>
      <c r="I58" s="3">
        <v>317</v>
      </c>
      <c r="J58" s="6">
        <f t="shared" ca="1" si="3"/>
        <v>46323.798738425925</v>
      </c>
      <c r="L58" t="str">
        <f t="shared" si="4"/>
        <v>R.G.</v>
      </c>
      <c r="M58">
        <f t="shared" si="5"/>
        <v>32</v>
      </c>
    </row>
    <row r="59" spans="1:13">
      <c r="A59" t="s">
        <v>66</v>
      </c>
      <c r="B59" t="s">
        <v>67</v>
      </c>
      <c r="C59" t="s">
        <v>23</v>
      </c>
      <c r="D59" t="s">
        <v>36</v>
      </c>
      <c r="E59" s="3">
        <v>525.25</v>
      </c>
      <c r="F59">
        <v>13</v>
      </c>
      <c r="G59" s="4">
        <v>0</v>
      </c>
      <c r="H59" s="5">
        <v>45481.542409247682</v>
      </c>
      <c r="I59" s="3">
        <v>174.37</v>
      </c>
      <c r="J59" s="6">
        <f t="shared" ca="1" si="3"/>
        <v>46323.798738425925</v>
      </c>
      <c r="L59" t="str">
        <f t="shared" si="4"/>
        <v>A.K.</v>
      </c>
      <c r="M59">
        <f t="shared" si="5"/>
        <v>184</v>
      </c>
    </row>
    <row r="60" spans="1:13">
      <c r="A60" t="s">
        <v>63</v>
      </c>
      <c r="B60" t="s">
        <v>49</v>
      </c>
      <c r="C60" t="s">
        <v>33</v>
      </c>
      <c r="D60" t="s">
        <v>24</v>
      </c>
      <c r="E60" s="3">
        <v>1344.75</v>
      </c>
      <c r="F60">
        <v>13</v>
      </c>
      <c r="G60" s="4">
        <v>0.15</v>
      </c>
      <c r="H60" s="5">
        <v>45482.459791620371</v>
      </c>
      <c r="I60" s="3">
        <v>291.13</v>
      </c>
      <c r="J60" s="6">
        <f t="shared" ca="1" si="3"/>
        <v>46323.798738425925</v>
      </c>
      <c r="L60" t="str">
        <f t="shared" si="4"/>
        <v>R.H.</v>
      </c>
      <c r="M60">
        <f t="shared" si="5"/>
        <v>41</v>
      </c>
    </row>
    <row r="61" spans="1:13">
      <c r="A61" t="s">
        <v>66</v>
      </c>
      <c r="B61" t="s">
        <v>67</v>
      </c>
      <c r="C61" t="s">
        <v>39</v>
      </c>
      <c r="D61" t="s">
        <v>36</v>
      </c>
      <c r="E61" s="3">
        <v>1394.61</v>
      </c>
      <c r="F61">
        <v>16</v>
      </c>
      <c r="G61" s="4">
        <v>0.05</v>
      </c>
      <c r="H61" s="5">
        <v>45483.156450439812</v>
      </c>
      <c r="I61" s="3">
        <v>368.18</v>
      </c>
      <c r="J61" s="6">
        <f t="shared" ca="1" si="3"/>
        <v>46323.798738425925</v>
      </c>
      <c r="L61" t="str">
        <f t="shared" si="4"/>
        <v>A.K.</v>
      </c>
      <c r="M61">
        <f t="shared" si="5"/>
        <v>33</v>
      </c>
    </row>
    <row r="62" spans="1:13">
      <c r="A62" t="s">
        <v>60</v>
      </c>
      <c r="B62" t="s">
        <v>61</v>
      </c>
      <c r="C62" t="s">
        <v>23</v>
      </c>
      <c r="D62" t="s">
        <v>30</v>
      </c>
      <c r="E62" s="3">
        <v>1458.43</v>
      </c>
      <c r="F62">
        <v>4</v>
      </c>
      <c r="G62" s="4">
        <v>0.1</v>
      </c>
      <c r="H62" s="5">
        <v>45483.820285324073</v>
      </c>
      <c r="I62" s="3">
        <v>362.38</v>
      </c>
      <c r="J62" s="6">
        <f t="shared" ca="1" si="3"/>
        <v>46323.798738425925</v>
      </c>
      <c r="L62" t="str">
        <f t="shared" si="4"/>
        <v>M.S.</v>
      </c>
      <c r="M62">
        <f t="shared" si="5"/>
        <v>22</v>
      </c>
    </row>
    <row r="63" spans="1:13">
      <c r="A63" t="s">
        <v>48</v>
      </c>
      <c r="B63" t="s">
        <v>49</v>
      </c>
      <c r="C63" t="s">
        <v>29</v>
      </c>
      <c r="D63" t="s">
        <v>36</v>
      </c>
      <c r="E63" s="3">
        <v>1471.63</v>
      </c>
      <c r="F63">
        <v>10</v>
      </c>
      <c r="G63" s="4">
        <v>0.15</v>
      </c>
      <c r="H63" s="5">
        <v>45484.505110983795</v>
      </c>
      <c r="I63" s="3">
        <v>330.84</v>
      </c>
      <c r="J63" s="6">
        <f t="shared" ca="1" si="3"/>
        <v>46323.798738425925</v>
      </c>
      <c r="L63" t="str">
        <f t="shared" si="4"/>
        <v>R.H.</v>
      </c>
      <c r="M63">
        <f t="shared" si="5"/>
        <v>17</v>
      </c>
    </row>
    <row r="64" spans="1:13">
      <c r="A64" t="s">
        <v>46</v>
      </c>
      <c r="B64" t="s">
        <v>28</v>
      </c>
      <c r="C64" t="s">
        <v>29</v>
      </c>
      <c r="D64" t="s">
        <v>50</v>
      </c>
      <c r="E64" s="3">
        <v>1093.76</v>
      </c>
      <c r="F64">
        <v>1</v>
      </c>
      <c r="G64" s="4">
        <v>0.15</v>
      </c>
      <c r="H64" s="5">
        <v>45485.378311666667</v>
      </c>
      <c r="I64" s="3">
        <v>244.25</v>
      </c>
      <c r="J64" s="6">
        <f t="shared" ca="1" si="3"/>
        <v>46323.798738425925</v>
      </c>
      <c r="L64" t="str">
        <f t="shared" si="4"/>
        <v>G.S.</v>
      </c>
      <c r="M64">
        <f t="shared" si="5"/>
        <v>84</v>
      </c>
    </row>
    <row r="65" spans="1:13">
      <c r="A65" t="s">
        <v>66</v>
      </c>
      <c r="B65" t="s">
        <v>67</v>
      </c>
      <c r="C65" t="s">
        <v>33</v>
      </c>
      <c r="D65" t="s">
        <v>26</v>
      </c>
      <c r="E65" s="3">
        <v>857.4</v>
      </c>
      <c r="F65">
        <v>16</v>
      </c>
      <c r="G65" s="4">
        <v>0.2</v>
      </c>
      <c r="H65" s="5">
        <v>45489.232008194442</v>
      </c>
      <c r="I65" s="3">
        <v>141.66999999999999</v>
      </c>
      <c r="J65" s="6">
        <f t="shared" ca="1" si="3"/>
        <v>46323.798738425925</v>
      </c>
      <c r="L65" t="str">
        <f t="shared" si="4"/>
        <v>A.K.</v>
      </c>
      <c r="M65">
        <f t="shared" si="5"/>
        <v>126</v>
      </c>
    </row>
    <row r="66" spans="1:13">
      <c r="A66" t="s">
        <v>51</v>
      </c>
      <c r="B66" t="s">
        <v>52</v>
      </c>
      <c r="C66" t="s">
        <v>29</v>
      </c>
      <c r="D66" t="s">
        <v>26</v>
      </c>
      <c r="E66" s="3">
        <v>804.66</v>
      </c>
      <c r="F66">
        <v>10</v>
      </c>
      <c r="G66" s="4">
        <v>0.2</v>
      </c>
      <c r="H66" s="5">
        <v>45489.525096365738</v>
      </c>
      <c r="I66" s="3">
        <v>192.02</v>
      </c>
      <c r="J66" s="6">
        <f t="shared" ref="J66:J97" ca="1" si="6">NOW()</f>
        <v>46323.798738425925</v>
      </c>
      <c r="L66" t="str">
        <f t="shared" ref="L66:L97" si="7">LEFT(B66,1)&amp;"."&amp;LEFT(RIGHT(B66,LEN(B66)-FIND(" ",B66)),1)&amp;"."</f>
        <v>N.A.</v>
      </c>
      <c r="M66">
        <f t="shared" ref="M66:M97" si="8">_xlfn.RANK.EQ(E66,$E$2:$E$201,0)</f>
        <v>138</v>
      </c>
    </row>
    <row r="67" spans="1:13">
      <c r="A67" t="s">
        <v>53</v>
      </c>
      <c r="B67" t="s">
        <v>38</v>
      </c>
      <c r="C67" t="s">
        <v>29</v>
      </c>
      <c r="D67" t="s">
        <v>26</v>
      </c>
      <c r="E67" s="3">
        <v>1529.91</v>
      </c>
      <c r="F67">
        <v>15</v>
      </c>
      <c r="G67" s="4">
        <v>0.05</v>
      </c>
      <c r="H67" s="5">
        <v>45489.782817523148</v>
      </c>
      <c r="I67" s="3">
        <v>404.41</v>
      </c>
      <c r="J67" s="6">
        <f t="shared" ca="1" si="6"/>
        <v>46323.798738425925</v>
      </c>
      <c r="L67" t="str">
        <f t="shared" si="7"/>
        <v>P.T.</v>
      </c>
      <c r="M67">
        <f t="shared" si="8"/>
        <v>10</v>
      </c>
    </row>
    <row r="68" spans="1:13">
      <c r="A68" t="s">
        <v>21</v>
      </c>
      <c r="B68" t="s">
        <v>22</v>
      </c>
      <c r="C68" t="s">
        <v>25</v>
      </c>
      <c r="D68" t="s">
        <v>26</v>
      </c>
      <c r="E68" s="3">
        <v>1340.25</v>
      </c>
      <c r="F68">
        <v>2</v>
      </c>
      <c r="G68" s="4">
        <v>0.05</v>
      </c>
      <c r="H68" s="5">
        <v>45492.569444733796</v>
      </c>
      <c r="I68" s="3">
        <v>324.06</v>
      </c>
      <c r="J68" s="6">
        <f t="shared" ca="1" si="6"/>
        <v>46323.798738425925</v>
      </c>
      <c r="L68" t="str">
        <f t="shared" si="7"/>
        <v>D.Y.</v>
      </c>
      <c r="M68">
        <f t="shared" si="8"/>
        <v>44</v>
      </c>
    </row>
    <row r="69" spans="1:13">
      <c r="A69" t="s">
        <v>51</v>
      </c>
      <c r="B69" t="s">
        <v>52</v>
      </c>
      <c r="C69" t="s">
        <v>33</v>
      </c>
      <c r="D69" t="s">
        <v>36</v>
      </c>
      <c r="E69" s="3">
        <v>1597.65</v>
      </c>
      <c r="F69">
        <v>15</v>
      </c>
      <c r="G69" s="4">
        <v>0.1</v>
      </c>
      <c r="H69" s="5">
        <v>45493.132718622684</v>
      </c>
      <c r="I69" s="3">
        <v>393.55</v>
      </c>
      <c r="J69" s="6">
        <f t="shared" ca="1" si="6"/>
        <v>46323.798738425925</v>
      </c>
      <c r="L69" t="str">
        <f t="shared" si="7"/>
        <v>N.A.</v>
      </c>
      <c r="M69">
        <f t="shared" si="8"/>
        <v>1</v>
      </c>
    </row>
    <row r="70" spans="1:13">
      <c r="A70" t="s">
        <v>58</v>
      </c>
      <c r="B70" t="s">
        <v>59</v>
      </c>
      <c r="C70" t="s">
        <v>39</v>
      </c>
      <c r="D70" t="s">
        <v>50</v>
      </c>
      <c r="E70" s="3">
        <v>821.32</v>
      </c>
      <c r="F70">
        <v>17</v>
      </c>
      <c r="G70" s="4">
        <v>0.2</v>
      </c>
      <c r="H70" s="5">
        <v>45500.538491226849</v>
      </c>
      <c r="I70" s="3">
        <v>172.52</v>
      </c>
      <c r="J70" s="6">
        <f t="shared" ca="1" si="6"/>
        <v>46323.798738425925</v>
      </c>
      <c r="L70" t="str">
        <f t="shared" si="7"/>
        <v>L.W.</v>
      </c>
      <c r="M70">
        <f t="shared" si="8"/>
        <v>134</v>
      </c>
    </row>
    <row r="71" spans="1:13">
      <c r="A71" t="s">
        <v>64</v>
      </c>
      <c r="B71" t="s">
        <v>65</v>
      </c>
      <c r="C71" t="s">
        <v>25</v>
      </c>
      <c r="D71" t="s">
        <v>26</v>
      </c>
      <c r="E71" s="3">
        <v>1061.71</v>
      </c>
      <c r="F71">
        <v>19</v>
      </c>
      <c r="G71" s="4">
        <v>0</v>
      </c>
      <c r="H71" s="5">
        <v>45500.740432881947</v>
      </c>
      <c r="I71" s="3">
        <v>272.29000000000002</v>
      </c>
      <c r="J71" s="6">
        <f t="shared" ca="1" si="6"/>
        <v>46323.798738425925</v>
      </c>
      <c r="L71" t="str">
        <f t="shared" si="7"/>
        <v>J.T.</v>
      </c>
      <c r="M71">
        <f t="shared" si="8"/>
        <v>90</v>
      </c>
    </row>
    <row r="72" spans="1:13">
      <c r="A72" t="s">
        <v>73</v>
      </c>
      <c r="B72" t="s">
        <v>74</v>
      </c>
      <c r="C72" t="s">
        <v>29</v>
      </c>
      <c r="D72" t="s">
        <v>30</v>
      </c>
      <c r="E72" s="3">
        <v>1371.59</v>
      </c>
      <c r="F72">
        <v>9</v>
      </c>
      <c r="G72" s="4">
        <v>0.05</v>
      </c>
      <c r="H72" s="5">
        <v>45501.911411157409</v>
      </c>
      <c r="I72" s="3">
        <v>391.5</v>
      </c>
      <c r="J72" s="6">
        <f t="shared" ca="1" si="6"/>
        <v>46323.798738425925</v>
      </c>
      <c r="L72" t="str">
        <f t="shared" si="7"/>
        <v>R.G.</v>
      </c>
      <c r="M72">
        <f t="shared" si="8"/>
        <v>37</v>
      </c>
    </row>
    <row r="73" spans="1:13">
      <c r="A73" t="s">
        <v>75</v>
      </c>
      <c r="B73" t="s">
        <v>67</v>
      </c>
      <c r="C73" t="s">
        <v>25</v>
      </c>
      <c r="D73" t="s">
        <v>50</v>
      </c>
      <c r="E73" s="3">
        <v>560.96</v>
      </c>
      <c r="F73">
        <v>18</v>
      </c>
      <c r="G73" s="4">
        <v>0.05</v>
      </c>
      <c r="H73" s="5">
        <v>45503.204887291664</v>
      </c>
      <c r="I73" s="3">
        <v>172.98</v>
      </c>
      <c r="J73" s="6">
        <f t="shared" ca="1" si="6"/>
        <v>46323.798738425925</v>
      </c>
      <c r="L73" t="str">
        <f t="shared" si="7"/>
        <v>A.K.</v>
      </c>
      <c r="M73">
        <f t="shared" si="8"/>
        <v>178</v>
      </c>
    </row>
    <row r="74" spans="1:13">
      <c r="A74" t="s">
        <v>53</v>
      </c>
      <c r="B74" t="s">
        <v>38</v>
      </c>
      <c r="C74" t="s">
        <v>33</v>
      </c>
      <c r="D74" t="s">
        <v>30</v>
      </c>
      <c r="E74" s="3">
        <v>617.14</v>
      </c>
      <c r="F74">
        <v>18</v>
      </c>
      <c r="G74" s="4">
        <v>0.05</v>
      </c>
      <c r="H74" s="5">
        <v>45504.141416678242</v>
      </c>
      <c r="I74" s="3">
        <v>176</v>
      </c>
      <c r="J74" s="6">
        <f t="shared" ca="1" si="6"/>
        <v>46323.798738425925</v>
      </c>
      <c r="L74" t="str">
        <f t="shared" si="7"/>
        <v>P.T.</v>
      </c>
      <c r="M74">
        <f t="shared" si="8"/>
        <v>165</v>
      </c>
    </row>
    <row r="75" spans="1:13">
      <c r="A75" t="s">
        <v>57</v>
      </c>
      <c r="B75" t="s">
        <v>43</v>
      </c>
      <c r="C75" t="s">
        <v>39</v>
      </c>
      <c r="D75" t="s">
        <v>36</v>
      </c>
      <c r="E75" s="3">
        <v>588.19000000000005</v>
      </c>
      <c r="F75">
        <v>9</v>
      </c>
      <c r="G75" s="4">
        <v>0.1</v>
      </c>
      <c r="H75" s="5">
        <v>45504.253122939816</v>
      </c>
      <c r="I75" s="3">
        <v>125.68</v>
      </c>
      <c r="J75" s="6">
        <f t="shared" ca="1" si="6"/>
        <v>46323.798738425925</v>
      </c>
      <c r="L75" t="str">
        <f t="shared" si="7"/>
        <v>D.L.</v>
      </c>
      <c r="M75">
        <f t="shared" si="8"/>
        <v>173</v>
      </c>
    </row>
    <row r="76" spans="1:13">
      <c r="A76" t="s">
        <v>34</v>
      </c>
      <c r="B76" t="s">
        <v>35</v>
      </c>
      <c r="C76" t="s">
        <v>33</v>
      </c>
      <c r="D76" t="s">
        <v>26</v>
      </c>
      <c r="E76" s="3">
        <v>857.51</v>
      </c>
      <c r="F76">
        <v>11</v>
      </c>
      <c r="G76" s="4">
        <v>0</v>
      </c>
      <c r="H76" s="5">
        <v>45509.892808576391</v>
      </c>
      <c r="I76" s="3">
        <v>238.14</v>
      </c>
      <c r="J76" s="6">
        <f t="shared" ca="1" si="6"/>
        <v>46323.798738425925</v>
      </c>
      <c r="L76" t="str">
        <f t="shared" si="7"/>
        <v>L.J.</v>
      </c>
      <c r="M76">
        <f t="shared" si="8"/>
        <v>125</v>
      </c>
    </row>
    <row r="77" spans="1:13">
      <c r="A77" t="s">
        <v>31</v>
      </c>
      <c r="B77" t="s">
        <v>32</v>
      </c>
      <c r="C77" t="s">
        <v>29</v>
      </c>
      <c r="D77" t="s">
        <v>36</v>
      </c>
      <c r="E77" s="3">
        <v>798.71</v>
      </c>
      <c r="F77">
        <v>2</v>
      </c>
      <c r="G77" s="4">
        <v>0.2</v>
      </c>
      <c r="H77" s="5">
        <v>45510.250935405093</v>
      </c>
      <c r="I77" s="3">
        <v>181.45</v>
      </c>
      <c r="J77" s="6">
        <f t="shared" ca="1" si="6"/>
        <v>46323.798738425925</v>
      </c>
      <c r="L77" t="str">
        <f t="shared" si="7"/>
        <v>E.D.</v>
      </c>
      <c r="M77">
        <f t="shared" si="8"/>
        <v>141</v>
      </c>
    </row>
    <row r="78" spans="1:13">
      <c r="A78" t="s">
        <v>31</v>
      </c>
      <c r="B78" t="s">
        <v>32</v>
      </c>
      <c r="C78" t="s">
        <v>29</v>
      </c>
      <c r="D78" t="s">
        <v>50</v>
      </c>
      <c r="E78" s="3">
        <v>995.24</v>
      </c>
      <c r="F78">
        <v>1</v>
      </c>
      <c r="G78" s="4">
        <v>0.15</v>
      </c>
      <c r="H78" s="5">
        <v>45514.716798460649</v>
      </c>
      <c r="I78" s="3">
        <v>231</v>
      </c>
      <c r="J78" s="6">
        <f t="shared" ca="1" si="6"/>
        <v>46323.798738425925</v>
      </c>
      <c r="L78" t="str">
        <f t="shared" si="7"/>
        <v>E.D.</v>
      </c>
      <c r="M78">
        <f t="shared" si="8"/>
        <v>100</v>
      </c>
    </row>
    <row r="79" spans="1:13">
      <c r="A79" t="s">
        <v>60</v>
      </c>
      <c r="B79" t="s">
        <v>61</v>
      </c>
      <c r="C79" t="s">
        <v>25</v>
      </c>
      <c r="D79" t="s">
        <v>36</v>
      </c>
      <c r="E79" s="3">
        <v>895.73</v>
      </c>
      <c r="F79">
        <v>12</v>
      </c>
      <c r="G79" s="4">
        <v>0.2</v>
      </c>
      <c r="H79" s="5">
        <v>45515.126449085648</v>
      </c>
      <c r="I79" s="3">
        <v>173.02</v>
      </c>
      <c r="J79" s="6">
        <f t="shared" ca="1" si="6"/>
        <v>46323.798738425925</v>
      </c>
      <c r="L79" t="str">
        <f t="shared" si="7"/>
        <v>M.S.</v>
      </c>
      <c r="M79">
        <f t="shared" si="8"/>
        <v>121</v>
      </c>
    </row>
    <row r="80" spans="1:13">
      <c r="A80" t="s">
        <v>51</v>
      </c>
      <c r="B80" t="s">
        <v>52</v>
      </c>
      <c r="C80" t="s">
        <v>29</v>
      </c>
      <c r="D80" t="s">
        <v>36</v>
      </c>
      <c r="E80" s="3">
        <v>405.13</v>
      </c>
      <c r="F80">
        <v>2</v>
      </c>
      <c r="G80" s="4">
        <v>0.15</v>
      </c>
      <c r="H80" s="5">
        <v>45520.839639085651</v>
      </c>
      <c r="I80" s="3">
        <v>64.05</v>
      </c>
      <c r="J80" s="6">
        <f t="shared" ca="1" si="6"/>
        <v>46323.798738425925</v>
      </c>
      <c r="L80" t="str">
        <f t="shared" si="7"/>
        <v>N.A.</v>
      </c>
      <c r="M80">
        <f t="shared" si="8"/>
        <v>200</v>
      </c>
    </row>
    <row r="81" spans="1:13">
      <c r="A81" t="s">
        <v>53</v>
      </c>
      <c r="B81" t="s">
        <v>38</v>
      </c>
      <c r="C81" t="s">
        <v>33</v>
      </c>
      <c r="D81" t="s">
        <v>50</v>
      </c>
      <c r="E81" s="3">
        <v>725.46</v>
      </c>
      <c r="F81">
        <v>7</v>
      </c>
      <c r="G81" s="4">
        <v>0.15</v>
      </c>
      <c r="H81" s="5">
        <v>45521.81194900463</v>
      </c>
      <c r="I81" s="3">
        <v>162.12</v>
      </c>
      <c r="J81" s="6">
        <f t="shared" ca="1" si="6"/>
        <v>46323.798738425925</v>
      </c>
      <c r="L81" t="str">
        <f t="shared" si="7"/>
        <v>P.T.</v>
      </c>
      <c r="M81">
        <f t="shared" si="8"/>
        <v>150</v>
      </c>
    </row>
    <row r="82" spans="1:13">
      <c r="A82" t="s">
        <v>76</v>
      </c>
      <c r="B82" t="s">
        <v>77</v>
      </c>
      <c r="C82" t="s">
        <v>29</v>
      </c>
      <c r="D82" t="s">
        <v>24</v>
      </c>
      <c r="E82" s="3">
        <v>1234.32</v>
      </c>
      <c r="F82">
        <v>15</v>
      </c>
      <c r="G82" s="4">
        <v>0.1</v>
      </c>
      <c r="H82" s="5">
        <v>45523.272171909724</v>
      </c>
      <c r="I82" s="3">
        <v>318.60000000000002</v>
      </c>
      <c r="J82" s="6">
        <f t="shared" ca="1" si="6"/>
        <v>46323.798738425925</v>
      </c>
      <c r="L82" t="str">
        <f t="shared" si="7"/>
        <v>J.W.</v>
      </c>
      <c r="M82">
        <f t="shared" si="8"/>
        <v>62</v>
      </c>
    </row>
    <row r="83" spans="1:13">
      <c r="A83" t="s">
        <v>48</v>
      </c>
      <c r="B83" t="s">
        <v>49</v>
      </c>
      <c r="C83" t="s">
        <v>29</v>
      </c>
      <c r="D83" t="s">
        <v>50</v>
      </c>
      <c r="E83" s="3">
        <v>1454.87</v>
      </c>
      <c r="F83">
        <v>4</v>
      </c>
      <c r="G83" s="4">
        <v>0.1</v>
      </c>
      <c r="H83" s="5">
        <v>45524.304450497686</v>
      </c>
      <c r="I83" s="3">
        <v>352.43</v>
      </c>
      <c r="J83" s="6">
        <f t="shared" ca="1" si="6"/>
        <v>46323.798738425925</v>
      </c>
      <c r="L83" t="str">
        <f t="shared" si="7"/>
        <v>R.H.</v>
      </c>
      <c r="M83">
        <f t="shared" si="8"/>
        <v>24</v>
      </c>
    </row>
    <row r="84" spans="1:13">
      <c r="A84" t="s">
        <v>51</v>
      </c>
      <c r="B84" t="s">
        <v>52</v>
      </c>
      <c r="C84" t="s">
        <v>25</v>
      </c>
      <c r="D84" t="s">
        <v>36</v>
      </c>
      <c r="E84" s="3">
        <v>546.42999999999995</v>
      </c>
      <c r="F84">
        <v>18</v>
      </c>
      <c r="G84" s="4">
        <v>0.1</v>
      </c>
      <c r="H84" s="5">
        <v>45526.225707291669</v>
      </c>
      <c r="I84" s="3">
        <v>121.61</v>
      </c>
      <c r="J84" s="6">
        <f t="shared" ca="1" si="6"/>
        <v>46323.798738425925</v>
      </c>
      <c r="L84" t="str">
        <f t="shared" si="7"/>
        <v>N.A.</v>
      </c>
      <c r="M84">
        <f t="shared" si="8"/>
        <v>180</v>
      </c>
    </row>
    <row r="85" spans="1:13">
      <c r="A85" t="s">
        <v>53</v>
      </c>
      <c r="B85" t="s">
        <v>38</v>
      </c>
      <c r="C85" t="s">
        <v>39</v>
      </c>
      <c r="D85" t="s">
        <v>26</v>
      </c>
      <c r="E85" s="3">
        <v>827.38</v>
      </c>
      <c r="F85">
        <v>12</v>
      </c>
      <c r="G85" s="4">
        <v>0</v>
      </c>
      <c r="H85" s="5">
        <v>45526.676982418983</v>
      </c>
      <c r="I85" s="3">
        <v>235.61</v>
      </c>
      <c r="J85" s="6">
        <f t="shared" ca="1" si="6"/>
        <v>46323.798738425925</v>
      </c>
      <c r="L85" t="str">
        <f t="shared" si="7"/>
        <v>P.T.</v>
      </c>
      <c r="M85">
        <f t="shared" si="8"/>
        <v>133</v>
      </c>
    </row>
    <row r="86" spans="1:13">
      <c r="A86" t="s">
        <v>46</v>
      </c>
      <c r="B86" t="s">
        <v>28</v>
      </c>
      <c r="C86" t="s">
        <v>25</v>
      </c>
      <c r="D86" t="s">
        <v>30</v>
      </c>
      <c r="E86" s="3">
        <v>713.21</v>
      </c>
      <c r="F86">
        <v>13</v>
      </c>
      <c r="G86" s="4">
        <v>0.1</v>
      </c>
      <c r="H86" s="5">
        <v>45528.638074421295</v>
      </c>
      <c r="I86" s="3">
        <v>136.69999999999999</v>
      </c>
      <c r="J86" s="6">
        <f t="shared" ca="1" si="6"/>
        <v>46323.798738425925</v>
      </c>
      <c r="L86" t="str">
        <f t="shared" si="7"/>
        <v>G.S.</v>
      </c>
      <c r="M86">
        <f t="shared" si="8"/>
        <v>152</v>
      </c>
    </row>
    <row r="87" spans="1:13">
      <c r="A87" t="s">
        <v>34</v>
      </c>
      <c r="B87" t="s">
        <v>35</v>
      </c>
      <c r="C87" t="s">
        <v>25</v>
      </c>
      <c r="D87" t="s">
        <v>36</v>
      </c>
      <c r="E87" s="3">
        <v>655.87</v>
      </c>
      <c r="F87">
        <v>9</v>
      </c>
      <c r="G87" s="4">
        <v>0</v>
      </c>
      <c r="H87" s="5">
        <v>45530.654176018521</v>
      </c>
      <c r="I87" s="3">
        <v>147.09</v>
      </c>
      <c r="J87" s="6">
        <f t="shared" ca="1" si="6"/>
        <v>46323.798738425925</v>
      </c>
      <c r="L87" t="str">
        <f t="shared" si="7"/>
        <v>L.J.</v>
      </c>
      <c r="M87">
        <f t="shared" si="8"/>
        <v>159</v>
      </c>
    </row>
    <row r="88" spans="1:13">
      <c r="A88" t="s">
        <v>53</v>
      </c>
      <c r="B88" t="s">
        <v>38</v>
      </c>
      <c r="C88" t="s">
        <v>33</v>
      </c>
      <c r="D88" t="s">
        <v>30</v>
      </c>
      <c r="E88" s="3">
        <v>1271.74</v>
      </c>
      <c r="F88">
        <v>11</v>
      </c>
      <c r="G88" s="4">
        <v>0.05</v>
      </c>
      <c r="H88" s="5">
        <v>45537.798582291667</v>
      </c>
      <c r="I88" s="3">
        <v>346.17</v>
      </c>
      <c r="J88" s="6">
        <f t="shared" ca="1" si="6"/>
        <v>46323.798738425925</v>
      </c>
      <c r="L88" t="str">
        <f t="shared" si="7"/>
        <v>P.T.</v>
      </c>
      <c r="M88">
        <f t="shared" si="8"/>
        <v>53</v>
      </c>
    </row>
    <row r="89" spans="1:13">
      <c r="A89" t="s">
        <v>31</v>
      </c>
      <c r="B89" t="s">
        <v>32</v>
      </c>
      <c r="C89" t="s">
        <v>39</v>
      </c>
      <c r="D89" t="s">
        <v>36</v>
      </c>
      <c r="E89" s="3">
        <v>838.54</v>
      </c>
      <c r="F89">
        <v>5</v>
      </c>
      <c r="G89" s="4">
        <v>0.2</v>
      </c>
      <c r="H89" s="5">
        <v>45537.952890081018</v>
      </c>
      <c r="I89" s="3">
        <v>174.18</v>
      </c>
      <c r="J89" s="6">
        <f t="shared" ca="1" si="6"/>
        <v>46323.798738425925</v>
      </c>
      <c r="L89" t="str">
        <f t="shared" si="7"/>
        <v>E.D.</v>
      </c>
      <c r="M89">
        <f t="shared" si="8"/>
        <v>130</v>
      </c>
    </row>
    <row r="90" spans="1:13">
      <c r="A90" t="s">
        <v>78</v>
      </c>
      <c r="B90" t="s">
        <v>79</v>
      </c>
      <c r="C90" t="s">
        <v>25</v>
      </c>
      <c r="D90" t="s">
        <v>24</v>
      </c>
      <c r="E90" s="3">
        <v>1486.3</v>
      </c>
      <c r="F90">
        <v>5</v>
      </c>
      <c r="G90" s="4">
        <v>0.2</v>
      </c>
      <c r="H90" s="5">
        <v>45538.64070462963</v>
      </c>
      <c r="I90" s="3">
        <v>289.22000000000003</v>
      </c>
      <c r="J90" s="6">
        <f t="shared" ca="1" si="6"/>
        <v>46323.798738425925</v>
      </c>
      <c r="L90" t="str">
        <f t="shared" si="7"/>
        <v>E.B.</v>
      </c>
      <c r="M90">
        <f t="shared" si="8"/>
        <v>14</v>
      </c>
    </row>
    <row r="91" spans="1:13">
      <c r="A91" t="s">
        <v>31</v>
      </c>
      <c r="B91" t="s">
        <v>32</v>
      </c>
      <c r="C91" t="s">
        <v>23</v>
      </c>
      <c r="D91" t="s">
        <v>30</v>
      </c>
      <c r="E91" s="3">
        <v>835.1</v>
      </c>
      <c r="F91">
        <v>2</v>
      </c>
      <c r="G91" s="4">
        <v>0</v>
      </c>
      <c r="H91" s="5">
        <v>45540.497527268519</v>
      </c>
      <c r="I91" s="3">
        <v>206.63</v>
      </c>
      <c r="J91" s="6">
        <f t="shared" ca="1" si="6"/>
        <v>46323.798738425925</v>
      </c>
      <c r="L91" t="str">
        <f t="shared" si="7"/>
        <v>E.D.</v>
      </c>
      <c r="M91">
        <f t="shared" si="8"/>
        <v>131</v>
      </c>
    </row>
    <row r="92" spans="1:13">
      <c r="A92" t="s">
        <v>21</v>
      </c>
      <c r="B92" t="s">
        <v>22</v>
      </c>
      <c r="C92" t="s">
        <v>33</v>
      </c>
      <c r="D92" t="s">
        <v>36</v>
      </c>
      <c r="E92" s="3">
        <v>1322.26</v>
      </c>
      <c r="F92">
        <v>16</v>
      </c>
      <c r="G92" s="4">
        <v>0.1</v>
      </c>
      <c r="H92" s="5">
        <v>45541.66511253472</v>
      </c>
      <c r="I92" s="3">
        <v>281.63</v>
      </c>
      <c r="J92" s="6">
        <f t="shared" ca="1" si="6"/>
        <v>46323.798738425925</v>
      </c>
      <c r="L92" t="str">
        <f t="shared" si="7"/>
        <v>D.Y.</v>
      </c>
      <c r="M92">
        <f t="shared" si="8"/>
        <v>47</v>
      </c>
    </row>
    <row r="93" spans="1:13">
      <c r="A93" t="s">
        <v>34</v>
      </c>
      <c r="B93" t="s">
        <v>35</v>
      </c>
      <c r="C93" t="s">
        <v>39</v>
      </c>
      <c r="D93" t="s">
        <v>30</v>
      </c>
      <c r="E93" s="3">
        <v>1190.81</v>
      </c>
      <c r="F93">
        <v>10</v>
      </c>
      <c r="G93" s="4">
        <v>0.05</v>
      </c>
      <c r="H93" s="5">
        <v>45542.42091090278</v>
      </c>
      <c r="I93" s="3">
        <v>336.87</v>
      </c>
      <c r="J93" s="6">
        <f t="shared" ca="1" si="6"/>
        <v>46323.798738425925</v>
      </c>
      <c r="L93" t="str">
        <f t="shared" si="7"/>
        <v>L.J.</v>
      </c>
      <c r="M93">
        <f t="shared" si="8"/>
        <v>76</v>
      </c>
    </row>
    <row r="94" spans="1:13">
      <c r="A94" t="s">
        <v>48</v>
      </c>
      <c r="B94" t="s">
        <v>49</v>
      </c>
      <c r="C94" t="s">
        <v>29</v>
      </c>
      <c r="D94" t="s">
        <v>24</v>
      </c>
      <c r="E94" s="3">
        <v>1252.9000000000001</v>
      </c>
      <c r="F94">
        <v>1</v>
      </c>
      <c r="G94" s="4">
        <v>0.15</v>
      </c>
      <c r="H94" s="5">
        <v>45543.480882222226</v>
      </c>
      <c r="I94" s="3">
        <v>267.94</v>
      </c>
      <c r="J94" s="6">
        <f t="shared" ca="1" si="6"/>
        <v>46323.798738425925</v>
      </c>
      <c r="L94" t="str">
        <f t="shared" si="7"/>
        <v>R.H.</v>
      </c>
      <c r="M94">
        <f t="shared" si="8"/>
        <v>58</v>
      </c>
    </row>
    <row r="95" spans="1:13">
      <c r="A95" t="s">
        <v>69</v>
      </c>
      <c r="B95" t="s">
        <v>70</v>
      </c>
      <c r="C95" t="s">
        <v>33</v>
      </c>
      <c r="D95" t="s">
        <v>24</v>
      </c>
      <c r="E95" s="3">
        <v>1584.51</v>
      </c>
      <c r="F95">
        <v>5</v>
      </c>
      <c r="G95" s="4">
        <v>0.2</v>
      </c>
      <c r="H95" s="5">
        <v>45547.063544432873</v>
      </c>
      <c r="I95" s="3">
        <v>316.02</v>
      </c>
      <c r="J95" s="6">
        <f t="shared" ca="1" si="6"/>
        <v>46323.798738425925</v>
      </c>
      <c r="L95" t="str">
        <f t="shared" si="7"/>
        <v>K.M.</v>
      </c>
      <c r="M95">
        <f t="shared" si="8"/>
        <v>3</v>
      </c>
    </row>
    <row r="96" spans="1:13">
      <c r="A96" t="s">
        <v>48</v>
      </c>
      <c r="B96" t="s">
        <v>49</v>
      </c>
      <c r="C96" t="s">
        <v>29</v>
      </c>
      <c r="D96" t="s">
        <v>36</v>
      </c>
      <c r="E96" s="3">
        <v>460.02</v>
      </c>
      <c r="F96">
        <v>16</v>
      </c>
      <c r="G96" s="4">
        <v>0.05</v>
      </c>
      <c r="H96" s="5">
        <v>45548.537036134258</v>
      </c>
      <c r="I96" s="3">
        <v>81.75</v>
      </c>
      <c r="J96" s="6">
        <f t="shared" ca="1" si="6"/>
        <v>46323.798738425925</v>
      </c>
      <c r="L96" t="str">
        <f t="shared" si="7"/>
        <v>R.H.</v>
      </c>
      <c r="M96">
        <f t="shared" si="8"/>
        <v>191</v>
      </c>
    </row>
    <row r="97" spans="1:13">
      <c r="A97" t="s">
        <v>56</v>
      </c>
      <c r="B97" t="s">
        <v>22</v>
      </c>
      <c r="C97" t="s">
        <v>25</v>
      </c>
      <c r="D97" t="s">
        <v>26</v>
      </c>
      <c r="E97" s="3">
        <v>904.04</v>
      </c>
      <c r="F97">
        <v>12</v>
      </c>
      <c r="G97" s="4">
        <v>0.05</v>
      </c>
      <c r="H97" s="5">
        <v>45549.034742175929</v>
      </c>
      <c r="I97" s="3">
        <v>234.73</v>
      </c>
      <c r="J97" s="6">
        <f t="shared" ca="1" si="6"/>
        <v>46323.798738425925</v>
      </c>
      <c r="L97" t="str">
        <f t="shared" si="7"/>
        <v>D.Y.</v>
      </c>
      <c r="M97">
        <f t="shared" si="8"/>
        <v>117</v>
      </c>
    </row>
    <row r="98" spans="1:13">
      <c r="A98" t="s">
        <v>69</v>
      </c>
      <c r="B98" t="s">
        <v>70</v>
      </c>
      <c r="C98" t="s">
        <v>33</v>
      </c>
      <c r="D98" t="s">
        <v>50</v>
      </c>
      <c r="E98" s="3">
        <v>505.58</v>
      </c>
      <c r="F98">
        <v>8</v>
      </c>
      <c r="G98" s="4">
        <v>0.05</v>
      </c>
      <c r="H98" s="5">
        <v>45550.197844444447</v>
      </c>
      <c r="I98" s="3">
        <v>138.58000000000001</v>
      </c>
      <c r="J98" s="6">
        <f t="shared" ref="J98:J129" ca="1" si="9">NOW()</f>
        <v>46323.798738425925</v>
      </c>
      <c r="L98" t="str">
        <f t="shared" ref="L98:L129" si="10">LEFT(B98,1)&amp;"."&amp;LEFT(RIGHT(B98,LEN(B98)-FIND(" ",B98)),1)&amp;"."</f>
        <v>K.M.</v>
      </c>
      <c r="M98">
        <f t="shared" ref="M98:M129" si="11">_xlfn.RANK.EQ(E98,$E$2:$E$201,0)</f>
        <v>187</v>
      </c>
    </row>
    <row r="99" spans="1:13">
      <c r="A99" t="s">
        <v>64</v>
      </c>
      <c r="B99" t="s">
        <v>65</v>
      </c>
      <c r="C99" t="s">
        <v>25</v>
      </c>
      <c r="D99" t="s">
        <v>24</v>
      </c>
      <c r="E99" s="3">
        <v>1249.68</v>
      </c>
      <c r="F99">
        <v>2</v>
      </c>
      <c r="G99" s="4">
        <v>0.05</v>
      </c>
      <c r="H99" s="5">
        <v>45552.164625752317</v>
      </c>
      <c r="I99" s="3">
        <v>287.42</v>
      </c>
      <c r="J99" s="6">
        <f t="shared" ca="1" si="9"/>
        <v>46323.798738425925</v>
      </c>
      <c r="L99" t="str">
        <f t="shared" si="10"/>
        <v>J.T.</v>
      </c>
      <c r="M99">
        <f t="shared" si="11"/>
        <v>59</v>
      </c>
    </row>
    <row r="100" spans="1:13">
      <c r="A100" t="s">
        <v>66</v>
      </c>
      <c r="B100" t="s">
        <v>67</v>
      </c>
      <c r="C100" t="s">
        <v>33</v>
      </c>
      <c r="D100" t="s">
        <v>30</v>
      </c>
      <c r="E100" s="3">
        <v>650.04</v>
      </c>
      <c r="F100">
        <v>9</v>
      </c>
      <c r="G100" s="4">
        <v>0.15</v>
      </c>
      <c r="H100" s="5">
        <v>45552.906736446763</v>
      </c>
      <c r="I100" s="3">
        <v>145.41</v>
      </c>
      <c r="J100" s="6">
        <f t="shared" ca="1" si="9"/>
        <v>46323.798738425925</v>
      </c>
      <c r="L100" t="str">
        <f t="shared" si="10"/>
        <v>A.K.</v>
      </c>
      <c r="M100">
        <f t="shared" si="11"/>
        <v>161</v>
      </c>
    </row>
    <row r="101" spans="1:13">
      <c r="A101" t="s">
        <v>37</v>
      </c>
      <c r="B101" t="s">
        <v>38</v>
      </c>
      <c r="C101" t="s">
        <v>39</v>
      </c>
      <c r="D101" t="s">
        <v>30</v>
      </c>
      <c r="E101" s="3">
        <v>1190.26</v>
      </c>
      <c r="F101">
        <v>19</v>
      </c>
      <c r="G101" s="4">
        <v>0.15</v>
      </c>
      <c r="H101" s="5">
        <v>45554.377610428244</v>
      </c>
      <c r="I101" s="3">
        <v>264.42</v>
      </c>
      <c r="J101" s="6">
        <f t="shared" ca="1" si="9"/>
        <v>46323.798738425925</v>
      </c>
      <c r="L101" t="str">
        <f t="shared" si="10"/>
        <v>P.T.</v>
      </c>
      <c r="M101">
        <f t="shared" si="11"/>
        <v>77</v>
      </c>
    </row>
    <row r="102" spans="1:13">
      <c r="A102" t="s">
        <v>57</v>
      </c>
      <c r="B102" t="s">
        <v>43</v>
      </c>
      <c r="C102" t="s">
        <v>39</v>
      </c>
      <c r="D102" t="s">
        <v>36</v>
      </c>
      <c r="E102" s="3">
        <v>569.23</v>
      </c>
      <c r="F102">
        <v>14</v>
      </c>
      <c r="G102" s="4">
        <v>0.2</v>
      </c>
      <c r="H102" s="5">
        <v>45555.880577407406</v>
      </c>
      <c r="I102" s="3">
        <v>130.47999999999999</v>
      </c>
      <c r="J102" s="6">
        <f t="shared" ca="1" si="9"/>
        <v>46323.798738425925</v>
      </c>
      <c r="L102" t="str">
        <f t="shared" si="10"/>
        <v>D.L.</v>
      </c>
      <c r="M102">
        <f t="shared" si="11"/>
        <v>175</v>
      </c>
    </row>
    <row r="103" spans="1:13">
      <c r="A103" t="s">
        <v>34</v>
      </c>
      <c r="B103" t="s">
        <v>35</v>
      </c>
      <c r="C103" t="s">
        <v>25</v>
      </c>
      <c r="D103" t="s">
        <v>50</v>
      </c>
      <c r="E103" s="3">
        <v>1259.23</v>
      </c>
      <c r="F103">
        <v>14</v>
      </c>
      <c r="G103" s="4">
        <v>0</v>
      </c>
      <c r="H103" s="5">
        <v>45556.107290162035</v>
      </c>
      <c r="I103" s="3">
        <v>368.51</v>
      </c>
      <c r="J103" s="6">
        <f t="shared" ca="1" si="9"/>
        <v>46323.798738425925</v>
      </c>
      <c r="L103" t="str">
        <f t="shared" si="10"/>
        <v>L.J.</v>
      </c>
      <c r="M103">
        <f t="shared" si="11"/>
        <v>56</v>
      </c>
    </row>
    <row r="104" spans="1:13">
      <c r="A104" t="s">
        <v>27</v>
      </c>
      <c r="B104" t="s">
        <v>28</v>
      </c>
      <c r="C104" t="s">
        <v>39</v>
      </c>
      <c r="D104" t="s">
        <v>30</v>
      </c>
      <c r="E104" s="3">
        <v>645.26</v>
      </c>
      <c r="F104">
        <v>17</v>
      </c>
      <c r="G104" s="4">
        <v>0.1</v>
      </c>
      <c r="H104" s="5">
        <v>45558.173420092593</v>
      </c>
      <c r="I104" s="3">
        <v>121.06</v>
      </c>
      <c r="J104" s="6">
        <f t="shared" ca="1" si="9"/>
        <v>46323.798738425925</v>
      </c>
      <c r="L104" t="str">
        <f t="shared" si="10"/>
        <v>G.S.</v>
      </c>
      <c r="M104">
        <f t="shared" si="11"/>
        <v>163</v>
      </c>
    </row>
    <row r="105" spans="1:13">
      <c r="A105" t="s">
        <v>51</v>
      </c>
      <c r="B105" t="s">
        <v>52</v>
      </c>
      <c r="C105" t="s">
        <v>23</v>
      </c>
      <c r="D105" t="s">
        <v>30</v>
      </c>
      <c r="E105" s="3">
        <v>476.18</v>
      </c>
      <c r="F105">
        <v>18</v>
      </c>
      <c r="G105" s="4">
        <v>0</v>
      </c>
      <c r="H105" s="5">
        <v>45559.419671180556</v>
      </c>
      <c r="I105" s="3">
        <v>102.63</v>
      </c>
      <c r="J105" s="6">
        <f t="shared" ca="1" si="9"/>
        <v>46323.798738425925</v>
      </c>
      <c r="L105" t="str">
        <f t="shared" si="10"/>
        <v>N.A.</v>
      </c>
      <c r="M105">
        <f t="shared" si="11"/>
        <v>189</v>
      </c>
    </row>
    <row r="106" spans="1:13">
      <c r="A106" t="s">
        <v>37</v>
      </c>
      <c r="B106" t="s">
        <v>38</v>
      </c>
      <c r="C106" t="s">
        <v>23</v>
      </c>
      <c r="D106" t="s">
        <v>30</v>
      </c>
      <c r="E106" s="3">
        <v>1040.8900000000001</v>
      </c>
      <c r="F106">
        <v>6</v>
      </c>
      <c r="G106" s="4">
        <v>0.1</v>
      </c>
      <c r="H106" s="5">
        <v>45559.849585023148</v>
      </c>
      <c r="I106" s="3">
        <v>264.58999999999997</v>
      </c>
      <c r="J106" s="6">
        <f t="shared" ca="1" si="9"/>
        <v>46323.798738425925</v>
      </c>
      <c r="L106" t="str">
        <f t="shared" si="10"/>
        <v>P.T.</v>
      </c>
      <c r="M106">
        <f t="shared" si="11"/>
        <v>93</v>
      </c>
    </row>
    <row r="107" spans="1:13">
      <c r="A107" t="s">
        <v>64</v>
      </c>
      <c r="B107" t="s">
        <v>65</v>
      </c>
      <c r="C107" t="s">
        <v>33</v>
      </c>
      <c r="D107" t="s">
        <v>36</v>
      </c>
      <c r="E107" s="3">
        <v>614.25</v>
      </c>
      <c r="F107">
        <v>1</v>
      </c>
      <c r="G107" s="4">
        <v>0.05</v>
      </c>
      <c r="H107" s="5">
        <v>45560.286756921298</v>
      </c>
      <c r="I107" s="3">
        <v>147.25</v>
      </c>
      <c r="J107" s="6">
        <f t="shared" ca="1" si="9"/>
        <v>46323.798738425925</v>
      </c>
      <c r="L107" t="str">
        <f t="shared" si="10"/>
        <v>J.T.</v>
      </c>
      <c r="M107">
        <f t="shared" si="11"/>
        <v>166</v>
      </c>
    </row>
    <row r="108" spans="1:13">
      <c r="A108" t="s">
        <v>53</v>
      </c>
      <c r="B108" t="s">
        <v>38</v>
      </c>
      <c r="C108" t="s">
        <v>39</v>
      </c>
      <c r="D108" t="s">
        <v>30</v>
      </c>
      <c r="E108" s="3">
        <v>1347.01</v>
      </c>
      <c r="F108">
        <v>14</v>
      </c>
      <c r="G108" s="4">
        <v>0</v>
      </c>
      <c r="H108" s="5">
        <v>45563.620252430555</v>
      </c>
      <c r="I108" s="3">
        <v>350.64</v>
      </c>
      <c r="J108" s="6">
        <f t="shared" ca="1" si="9"/>
        <v>46323.798738425925</v>
      </c>
      <c r="L108" t="str">
        <f t="shared" si="10"/>
        <v>P.T.</v>
      </c>
      <c r="M108">
        <f t="shared" si="11"/>
        <v>39</v>
      </c>
    </row>
    <row r="109" spans="1:13">
      <c r="A109" t="s">
        <v>73</v>
      </c>
      <c r="B109" t="s">
        <v>74</v>
      </c>
      <c r="C109" t="s">
        <v>33</v>
      </c>
      <c r="D109" t="s">
        <v>36</v>
      </c>
      <c r="E109" s="3">
        <v>1380.25</v>
      </c>
      <c r="F109">
        <v>2</v>
      </c>
      <c r="G109" s="4">
        <v>0.2</v>
      </c>
      <c r="H109" s="5">
        <v>45563.810091967593</v>
      </c>
      <c r="I109" s="3">
        <v>272.7</v>
      </c>
      <c r="J109" s="6">
        <f t="shared" ca="1" si="9"/>
        <v>46323.798738425925</v>
      </c>
      <c r="L109" t="str">
        <f t="shared" si="10"/>
        <v>R.G.</v>
      </c>
      <c r="M109">
        <f t="shared" si="11"/>
        <v>36</v>
      </c>
    </row>
    <row r="110" spans="1:13">
      <c r="A110" t="s">
        <v>47</v>
      </c>
      <c r="B110" t="s">
        <v>32</v>
      </c>
      <c r="C110" t="s">
        <v>25</v>
      </c>
      <c r="D110" t="s">
        <v>24</v>
      </c>
      <c r="E110" s="3">
        <v>606.59</v>
      </c>
      <c r="F110">
        <v>15</v>
      </c>
      <c r="G110" s="4">
        <v>0</v>
      </c>
      <c r="H110" s="5">
        <v>45564.790823217591</v>
      </c>
      <c r="I110" s="3">
        <v>148.96</v>
      </c>
      <c r="J110" s="6">
        <f t="shared" ca="1" si="9"/>
        <v>46323.798738425925</v>
      </c>
      <c r="L110" t="str">
        <f t="shared" si="10"/>
        <v>E.D.</v>
      </c>
      <c r="M110">
        <f t="shared" si="11"/>
        <v>168</v>
      </c>
    </row>
    <row r="111" spans="1:13">
      <c r="A111" t="s">
        <v>78</v>
      </c>
      <c r="B111" t="s">
        <v>79</v>
      </c>
      <c r="C111" t="s">
        <v>29</v>
      </c>
      <c r="D111" t="s">
        <v>30</v>
      </c>
      <c r="E111" s="3">
        <v>613.80999999999995</v>
      </c>
      <c r="F111">
        <v>6</v>
      </c>
      <c r="G111" s="4">
        <v>0.1</v>
      </c>
      <c r="H111" s="5">
        <v>45565.667395370372</v>
      </c>
      <c r="I111" s="3">
        <v>112.16</v>
      </c>
      <c r="J111" s="6">
        <f t="shared" ca="1" si="9"/>
        <v>46323.798738425925</v>
      </c>
      <c r="L111" t="str">
        <f t="shared" si="10"/>
        <v>E.B.</v>
      </c>
      <c r="M111">
        <f t="shared" si="11"/>
        <v>167</v>
      </c>
    </row>
    <row r="112" spans="1:13">
      <c r="A112" t="s">
        <v>57</v>
      </c>
      <c r="B112" t="s">
        <v>43</v>
      </c>
      <c r="C112" t="s">
        <v>23</v>
      </c>
      <c r="D112" t="s">
        <v>50</v>
      </c>
      <c r="E112" s="3">
        <v>424.62</v>
      </c>
      <c r="F112">
        <v>3</v>
      </c>
      <c r="G112" s="4">
        <v>0.15</v>
      </c>
      <c r="H112" s="5">
        <v>45570.179997326391</v>
      </c>
      <c r="I112" s="3">
        <v>69.28</v>
      </c>
      <c r="J112" s="6">
        <f t="shared" ca="1" si="9"/>
        <v>46323.798738425925</v>
      </c>
      <c r="L112" t="str">
        <f t="shared" si="10"/>
        <v>D.L.</v>
      </c>
      <c r="M112">
        <f t="shared" si="11"/>
        <v>197</v>
      </c>
    </row>
    <row r="113" spans="1:13">
      <c r="A113" t="s">
        <v>62</v>
      </c>
      <c r="B113" t="s">
        <v>61</v>
      </c>
      <c r="C113" t="s">
        <v>25</v>
      </c>
      <c r="D113" t="s">
        <v>36</v>
      </c>
      <c r="E113" s="3">
        <v>703.26</v>
      </c>
      <c r="F113">
        <v>9</v>
      </c>
      <c r="G113" s="4">
        <v>0.1</v>
      </c>
      <c r="H113" s="5">
        <v>45570.343265717594</v>
      </c>
      <c r="I113" s="3">
        <v>146.22999999999999</v>
      </c>
      <c r="J113" s="6">
        <f t="shared" ca="1" si="9"/>
        <v>46323.798738425925</v>
      </c>
      <c r="L113" t="str">
        <f t="shared" si="10"/>
        <v>M.S.</v>
      </c>
      <c r="M113">
        <f t="shared" si="11"/>
        <v>153</v>
      </c>
    </row>
    <row r="114" spans="1:13">
      <c r="A114" t="s">
        <v>48</v>
      </c>
      <c r="B114" t="s">
        <v>49</v>
      </c>
      <c r="C114" t="s">
        <v>33</v>
      </c>
      <c r="D114" t="s">
        <v>24</v>
      </c>
      <c r="E114" s="3">
        <v>955.55</v>
      </c>
      <c r="F114">
        <v>3</v>
      </c>
      <c r="G114" s="4">
        <v>0</v>
      </c>
      <c r="H114" s="5">
        <v>45575.629229513892</v>
      </c>
      <c r="I114" s="3">
        <v>304.94</v>
      </c>
      <c r="J114" s="6">
        <f t="shared" ca="1" si="9"/>
        <v>46323.798738425925</v>
      </c>
      <c r="L114" t="str">
        <f t="shared" si="10"/>
        <v>R.H.</v>
      </c>
      <c r="M114">
        <f t="shared" si="11"/>
        <v>106</v>
      </c>
    </row>
    <row r="115" spans="1:13">
      <c r="A115" t="s">
        <v>37</v>
      </c>
      <c r="B115" t="s">
        <v>38</v>
      </c>
      <c r="C115" t="s">
        <v>39</v>
      </c>
      <c r="D115" t="s">
        <v>24</v>
      </c>
      <c r="E115" s="3">
        <v>1077.74</v>
      </c>
      <c r="F115">
        <v>5</v>
      </c>
      <c r="G115" s="4">
        <v>0.1</v>
      </c>
      <c r="H115" s="5">
        <v>45584.101271944448</v>
      </c>
      <c r="I115" s="3">
        <v>267.51</v>
      </c>
      <c r="J115" s="6">
        <f t="shared" ca="1" si="9"/>
        <v>46323.798738425925</v>
      </c>
      <c r="L115" t="str">
        <f t="shared" si="10"/>
        <v>P.T.</v>
      </c>
      <c r="M115">
        <f t="shared" si="11"/>
        <v>87</v>
      </c>
    </row>
    <row r="116" spans="1:13">
      <c r="A116" t="s">
        <v>57</v>
      </c>
      <c r="B116" t="s">
        <v>43</v>
      </c>
      <c r="C116" t="s">
        <v>39</v>
      </c>
      <c r="D116" t="s">
        <v>36</v>
      </c>
      <c r="E116" s="3">
        <v>808.21</v>
      </c>
      <c r="F116">
        <v>11</v>
      </c>
      <c r="G116" s="4">
        <v>0.15</v>
      </c>
      <c r="H116" s="5">
        <v>45584.986153807869</v>
      </c>
      <c r="I116" s="3">
        <v>179.76</v>
      </c>
      <c r="J116" s="6">
        <f t="shared" ca="1" si="9"/>
        <v>46323.798738425925</v>
      </c>
      <c r="L116" t="str">
        <f t="shared" si="10"/>
        <v>D.L.</v>
      </c>
      <c r="M116">
        <f t="shared" si="11"/>
        <v>137</v>
      </c>
    </row>
    <row r="117" spans="1:13">
      <c r="A117" t="s">
        <v>47</v>
      </c>
      <c r="B117" t="s">
        <v>32</v>
      </c>
      <c r="C117" t="s">
        <v>29</v>
      </c>
      <c r="D117" t="s">
        <v>24</v>
      </c>
      <c r="E117" s="3">
        <v>768.07</v>
      </c>
      <c r="F117">
        <v>12</v>
      </c>
      <c r="G117" s="4">
        <v>0.05</v>
      </c>
      <c r="H117" s="5">
        <v>45585.018008796294</v>
      </c>
      <c r="I117" s="3">
        <v>166.84</v>
      </c>
      <c r="J117" s="6">
        <f t="shared" ca="1" si="9"/>
        <v>46323.798738425925</v>
      </c>
      <c r="L117" t="str">
        <f t="shared" si="10"/>
        <v>E.D.</v>
      </c>
      <c r="M117">
        <f t="shared" si="11"/>
        <v>143</v>
      </c>
    </row>
    <row r="118" spans="1:13">
      <c r="A118" t="s">
        <v>63</v>
      </c>
      <c r="B118" t="s">
        <v>49</v>
      </c>
      <c r="C118" t="s">
        <v>33</v>
      </c>
      <c r="D118" t="s">
        <v>26</v>
      </c>
      <c r="E118" s="3">
        <v>908.33</v>
      </c>
      <c r="F118">
        <v>13</v>
      </c>
      <c r="G118" s="4">
        <v>0</v>
      </c>
      <c r="H118" s="5">
        <v>45585.08066576389</v>
      </c>
      <c r="I118" s="3">
        <v>224.56</v>
      </c>
      <c r="J118" s="6">
        <f t="shared" ca="1" si="9"/>
        <v>46323.798738425925</v>
      </c>
      <c r="L118" t="str">
        <f t="shared" si="10"/>
        <v>R.H.</v>
      </c>
      <c r="M118">
        <f t="shared" si="11"/>
        <v>115</v>
      </c>
    </row>
    <row r="119" spans="1:13">
      <c r="A119" t="s">
        <v>80</v>
      </c>
      <c r="B119" t="s">
        <v>79</v>
      </c>
      <c r="C119" t="s">
        <v>23</v>
      </c>
      <c r="D119" t="s">
        <v>24</v>
      </c>
      <c r="E119" s="3">
        <v>990.98</v>
      </c>
      <c r="F119">
        <v>6</v>
      </c>
      <c r="G119" s="4">
        <v>0.2</v>
      </c>
      <c r="H119" s="5">
        <v>45585.379287233794</v>
      </c>
      <c r="I119" s="3">
        <v>222.69</v>
      </c>
      <c r="J119" s="6">
        <f t="shared" ca="1" si="9"/>
        <v>46323.798738425925</v>
      </c>
      <c r="L119" t="str">
        <f t="shared" si="10"/>
        <v>E.B.</v>
      </c>
      <c r="M119">
        <f t="shared" si="11"/>
        <v>102</v>
      </c>
    </row>
    <row r="120" spans="1:13">
      <c r="A120" t="s">
        <v>27</v>
      </c>
      <c r="B120" t="s">
        <v>28</v>
      </c>
      <c r="C120" t="s">
        <v>29</v>
      </c>
      <c r="D120" t="s">
        <v>30</v>
      </c>
      <c r="E120" s="3">
        <v>1003.72</v>
      </c>
      <c r="F120">
        <v>18</v>
      </c>
      <c r="G120" s="4">
        <v>0</v>
      </c>
      <c r="H120" s="5">
        <v>45585.536229537036</v>
      </c>
      <c r="I120" s="3">
        <v>265.5</v>
      </c>
      <c r="J120" s="6">
        <f t="shared" ca="1" si="9"/>
        <v>46323.798738425925</v>
      </c>
      <c r="L120" t="str">
        <f t="shared" si="10"/>
        <v>G.S.</v>
      </c>
      <c r="M120">
        <f t="shared" si="11"/>
        <v>96</v>
      </c>
    </row>
    <row r="121" spans="1:13">
      <c r="A121" t="s">
        <v>46</v>
      </c>
      <c r="B121" t="s">
        <v>28</v>
      </c>
      <c r="C121" t="s">
        <v>39</v>
      </c>
      <c r="D121" t="s">
        <v>30</v>
      </c>
      <c r="E121" s="3">
        <v>1454.92</v>
      </c>
      <c r="F121">
        <v>5</v>
      </c>
      <c r="G121" s="4">
        <v>0.2</v>
      </c>
      <c r="H121" s="5">
        <v>45587.532384618054</v>
      </c>
      <c r="I121" s="3">
        <v>304.8</v>
      </c>
      <c r="J121" s="6">
        <f t="shared" ca="1" si="9"/>
        <v>46323.798738425925</v>
      </c>
      <c r="L121" t="str">
        <f t="shared" si="10"/>
        <v>G.S.</v>
      </c>
      <c r="M121">
        <f t="shared" si="11"/>
        <v>23</v>
      </c>
    </row>
    <row r="122" spans="1:13">
      <c r="A122" t="s">
        <v>73</v>
      </c>
      <c r="B122" t="s">
        <v>74</v>
      </c>
      <c r="C122" t="s">
        <v>23</v>
      </c>
      <c r="D122" t="s">
        <v>50</v>
      </c>
      <c r="E122" s="3">
        <v>1069.5</v>
      </c>
      <c r="F122">
        <v>11</v>
      </c>
      <c r="G122" s="4">
        <v>0.15</v>
      </c>
      <c r="H122" s="5">
        <v>45597.679185960646</v>
      </c>
      <c r="I122" s="3">
        <v>236.91</v>
      </c>
      <c r="J122" s="6">
        <f t="shared" ca="1" si="9"/>
        <v>46323.798738425925</v>
      </c>
      <c r="L122" t="str">
        <f t="shared" si="10"/>
        <v>R.G.</v>
      </c>
      <c r="M122">
        <f t="shared" si="11"/>
        <v>88</v>
      </c>
    </row>
    <row r="123" spans="1:13">
      <c r="A123" t="s">
        <v>48</v>
      </c>
      <c r="B123" t="s">
        <v>49</v>
      </c>
      <c r="C123" t="s">
        <v>23</v>
      </c>
      <c r="D123" t="s">
        <v>50</v>
      </c>
      <c r="E123" s="3">
        <v>1354.84</v>
      </c>
      <c r="F123">
        <v>14</v>
      </c>
      <c r="G123" s="4">
        <v>0</v>
      </c>
      <c r="H123" s="5">
        <v>45599.913955532407</v>
      </c>
      <c r="I123" s="3">
        <v>385.2</v>
      </c>
      <c r="J123" s="6">
        <f t="shared" ca="1" si="9"/>
        <v>46323.798738425925</v>
      </c>
      <c r="L123" t="str">
        <f t="shared" si="10"/>
        <v>R.H.</v>
      </c>
      <c r="M123">
        <f t="shared" si="11"/>
        <v>38</v>
      </c>
    </row>
    <row r="124" spans="1:13">
      <c r="A124" t="s">
        <v>46</v>
      </c>
      <c r="B124" t="s">
        <v>28</v>
      </c>
      <c r="C124" t="s">
        <v>23</v>
      </c>
      <c r="D124" t="s">
        <v>24</v>
      </c>
      <c r="E124" s="3">
        <v>1386.56</v>
      </c>
      <c r="F124">
        <v>14</v>
      </c>
      <c r="G124" s="4">
        <v>0.15</v>
      </c>
      <c r="H124" s="5">
        <v>45601.988600925928</v>
      </c>
      <c r="I124" s="3">
        <v>279.36</v>
      </c>
      <c r="J124" s="6">
        <f t="shared" ca="1" si="9"/>
        <v>46323.798738425925</v>
      </c>
      <c r="L124" t="str">
        <f t="shared" si="10"/>
        <v>G.S.</v>
      </c>
      <c r="M124">
        <f t="shared" si="11"/>
        <v>35</v>
      </c>
    </row>
    <row r="125" spans="1:13">
      <c r="A125" t="s">
        <v>62</v>
      </c>
      <c r="B125" t="s">
        <v>61</v>
      </c>
      <c r="C125" t="s">
        <v>23</v>
      </c>
      <c r="D125" t="s">
        <v>24</v>
      </c>
      <c r="E125" s="3">
        <v>1294.97</v>
      </c>
      <c r="F125">
        <v>19</v>
      </c>
      <c r="G125" s="4">
        <v>0.05</v>
      </c>
      <c r="H125" s="5">
        <v>45603.186661377316</v>
      </c>
      <c r="I125" s="3">
        <v>361.62</v>
      </c>
      <c r="J125" s="6">
        <f t="shared" ca="1" si="9"/>
        <v>46323.798738425925</v>
      </c>
      <c r="L125" t="str">
        <f t="shared" si="10"/>
        <v>M.S.</v>
      </c>
      <c r="M125">
        <f t="shared" si="11"/>
        <v>50</v>
      </c>
    </row>
    <row r="126" spans="1:13">
      <c r="A126" t="s">
        <v>60</v>
      </c>
      <c r="B126" t="s">
        <v>61</v>
      </c>
      <c r="C126" t="s">
        <v>29</v>
      </c>
      <c r="D126" t="s">
        <v>36</v>
      </c>
      <c r="E126" s="3">
        <v>1215.32</v>
      </c>
      <c r="F126">
        <v>6</v>
      </c>
      <c r="G126" s="4">
        <v>0.1</v>
      </c>
      <c r="H126" s="5">
        <v>45603.200260972226</v>
      </c>
      <c r="I126" s="3">
        <v>299.44</v>
      </c>
      <c r="J126" s="6">
        <f t="shared" ca="1" si="9"/>
        <v>46323.798738425925</v>
      </c>
      <c r="L126" t="str">
        <f t="shared" si="10"/>
        <v>M.S.</v>
      </c>
      <c r="M126">
        <f t="shared" si="11"/>
        <v>67</v>
      </c>
    </row>
    <row r="127" spans="1:13">
      <c r="A127" t="s">
        <v>34</v>
      </c>
      <c r="B127" t="s">
        <v>35</v>
      </c>
      <c r="C127" t="s">
        <v>39</v>
      </c>
      <c r="D127" t="s">
        <v>24</v>
      </c>
      <c r="E127" s="3">
        <v>1497.63</v>
      </c>
      <c r="F127">
        <v>7</v>
      </c>
      <c r="G127" s="4">
        <v>0.05</v>
      </c>
      <c r="H127" s="5">
        <v>45608.807518726855</v>
      </c>
      <c r="I127" s="3">
        <v>362.38</v>
      </c>
      <c r="J127" s="6">
        <f t="shared" ca="1" si="9"/>
        <v>46323.798738425925</v>
      </c>
      <c r="L127" t="str">
        <f t="shared" si="10"/>
        <v>L.J.</v>
      </c>
      <c r="M127">
        <f t="shared" si="11"/>
        <v>12</v>
      </c>
    </row>
    <row r="128" spans="1:13">
      <c r="A128" t="s">
        <v>71</v>
      </c>
      <c r="B128" t="s">
        <v>72</v>
      </c>
      <c r="C128" t="s">
        <v>23</v>
      </c>
      <c r="D128" t="s">
        <v>24</v>
      </c>
      <c r="E128" s="3">
        <v>802.95</v>
      </c>
      <c r="F128">
        <v>4</v>
      </c>
      <c r="G128" s="4">
        <v>0</v>
      </c>
      <c r="H128" s="5">
        <v>45609.41330605324</v>
      </c>
      <c r="I128" s="3">
        <v>234.5</v>
      </c>
      <c r="J128" s="6">
        <f t="shared" ca="1" si="9"/>
        <v>46323.798738425925</v>
      </c>
      <c r="L128" t="str">
        <f t="shared" si="10"/>
        <v>S.A.</v>
      </c>
      <c r="M128">
        <f t="shared" si="11"/>
        <v>140</v>
      </c>
    </row>
    <row r="129" spans="1:13">
      <c r="A129" t="s">
        <v>60</v>
      </c>
      <c r="B129" t="s">
        <v>61</v>
      </c>
      <c r="C129" t="s">
        <v>23</v>
      </c>
      <c r="D129" t="s">
        <v>50</v>
      </c>
      <c r="E129" s="3">
        <v>1112.77</v>
      </c>
      <c r="F129">
        <v>12</v>
      </c>
      <c r="G129" s="4">
        <v>0.15</v>
      </c>
      <c r="H129" s="5">
        <v>45610.719492164353</v>
      </c>
      <c r="I129" s="3">
        <v>258.48</v>
      </c>
      <c r="J129" s="6">
        <f t="shared" ca="1" si="9"/>
        <v>46323.798738425925</v>
      </c>
      <c r="L129" t="str">
        <f t="shared" si="10"/>
        <v>M.S.</v>
      </c>
      <c r="M129">
        <f t="shared" si="11"/>
        <v>81</v>
      </c>
    </row>
    <row r="130" spans="1:13">
      <c r="A130" t="s">
        <v>42</v>
      </c>
      <c r="B130" t="s">
        <v>43</v>
      </c>
      <c r="C130" t="s">
        <v>25</v>
      </c>
      <c r="D130" t="s">
        <v>50</v>
      </c>
      <c r="E130" s="3">
        <v>977.72</v>
      </c>
      <c r="F130">
        <v>12</v>
      </c>
      <c r="G130" s="4">
        <v>0.15</v>
      </c>
      <c r="H130" s="5">
        <v>45613.444602812502</v>
      </c>
      <c r="I130" s="3">
        <v>232.85</v>
      </c>
      <c r="J130" s="6">
        <f t="shared" ref="J130:J161" ca="1" si="12">NOW()</f>
        <v>46323.798738425925</v>
      </c>
      <c r="L130" t="str">
        <f t="shared" ref="L130:L161" si="13">LEFT(B130,1)&amp;"."&amp;LEFT(RIGHT(B130,LEN(B130)-FIND(" ",B130)),1)&amp;"."</f>
        <v>D.L.</v>
      </c>
      <c r="M130">
        <f t="shared" ref="M130:M161" si="14">_xlfn.RANK.EQ(E130,$E$2:$E$201,0)</f>
        <v>103</v>
      </c>
    </row>
    <row r="131" spans="1:13">
      <c r="A131" t="s">
        <v>51</v>
      </c>
      <c r="B131" t="s">
        <v>52</v>
      </c>
      <c r="C131" t="s">
        <v>23</v>
      </c>
      <c r="D131" t="s">
        <v>24</v>
      </c>
      <c r="E131" s="3">
        <v>606.21</v>
      </c>
      <c r="F131">
        <v>9</v>
      </c>
      <c r="G131" s="4">
        <v>0.15</v>
      </c>
      <c r="H131" s="5">
        <v>45615.306258773147</v>
      </c>
      <c r="I131" s="3">
        <v>167.97</v>
      </c>
      <c r="J131" s="6">
        <f t="shared" ca="1" si="12"/>
        <v>46323.798738425925</v>
      </c>
      <c r="L131" t="str">
        <f t="shared" si="13"/>
        <v>N.A.</v>
      </c>
      <c r="M131">
        <f t="shared" si="14"/>
        <v>169</v>
      </c>
    </row>
    <row r="132" spans="1:13">
      <c r="A132" t="s">
        <v>78</v>
      </c>
      <c r="B132" t="s">
        <v>79</v>
      </c>
      <c r="C132" t="s">
        <v>39</v>
      </c>
      <c r="D132" t="s">
        <v>50</v>
      </c>
      <c r="E132" s="3">
        <v>1015.56</v>
      </c>
      <c r="F132">
        <v>17</v>
      </c>
      <c r="G132" s="4">
        <v>0.1</v>
      </c>
      <c r="H132" s="5">
        <v>45617.288508981481</v>
      </c>
      <c r="I132" s="3">
        <v>251.38</v>
      </c>
      <c r="J132" s="6">
        <f t="shared" ca="1" si="12"/>
        <v>46323.798738425925</v>
      </c>
      <c r="L132" t="str">
        <f t="shared" si="13"/>
        <v>E.B.</v>
      </c>
      <c r="M132">
        <f t="shared" si="14"/>
        <v>95</v>
      </c>
    </row>
    <row r="133" spans="1:13">
      <c r="A133" t="s">
        <v>60</v>
      </c>
      <c r="B133" t="s">
        <v>61</v>
      </c>
      <c r="C133" t="s">
        <v>39</v>
      </c>
      <c r="D133" t="s">
        <v>50</v>
      </c>
      <c r="E133" s="3">
        <v>946.07</v>
      </c>
      <c r="F133">
        <v>7</v>
      </c>
      <c r="G133" s="4">
        <v>0</v>
      </c>
      <c r="H133" s="5">
        <v>45618.955629259261</v>
      </c>
      <c r="I133" s="3">
        <v>273.57</v>
      </c>
      <c r="J133" s="6">
        <f t="shared" ca="1" si="12"/>
        <v>46323.798738425925</v>
      </c>
      <c r="L133" t="str">
        <f t="shared" si="13"/>
        <v>M.S.</v>
      </c>
      <c r="M133">
        <f t="shared" si="14"/>
        <v>108</v>
      </c>
    </row>
    <row r="134" spans="1:13">
      <c r="A134" t="s">
        <v>54</v>
      </c>
      <c r="B134" t="s">
        <v>55</v>
      </c>
      <c r="C134" t="s">
        <v>33</v>
      </c>
      <c r="D134" t="s">
        <v>30</v>
      </c>
      <c r="E134" s="3">
        <v>713.86</v>
      </c>
      <c r="F134">
        <v>18</v>
      </c>
      <c r="G134" s="4">
        <v>0</v>
      </c>
      <c r="H134" s="5">
        <v>45623.950780995372</v>
      </c>
      <c r="I134" s="3">
        <v>215.76</v>
      </c>
      <c r="J134" s="6">
        <f t="shared" ca="1" si="12"/>
        <v>46323.798738425925</v>
      </c>
      <c r="L134" t="str">
        <f t="shared" si="13"/>
        <v>W.M.</v>
      </c>
      <c r="M134">
        <f t="shared" si="14"/>
        <v>151</v>
      </c>
    </row>
    <row r="135" spans="1:13">
      <c r="A135" t="s">
        <v>44</v>
      </c>
      <c r="B135" t="s">
        <v>45</v>
      </c>
      <c r="C135" t="s">
        <v>39</v>
      </c>
      <c r="D135" t="s">
        <v>24</v>
      </c>
      <c r="E135" s="3">
        <v>1285.81</v>
      </c>
      <c r="F135">
        <v>6</v>
      </c>
      <c r="G135" s="4">
        <v>0.05</v>
      </c>
      <c r="H135" s="5">
        <v>45623.983961319442</v>
      </c>
      <c r="I135" s="3">
        <v>291.26</v>
      </c>
      <c r="J135" s="6">
        <f t="shared" ca="1" si="12"/>
        <v>46323.798738425925</v>
      </c>
      <c r="L135" t="str">
        <f t="shared" si="13"/>
        <v>M.W.</v>
      </c>
      <c r="M135">
        <f t="shared" si="14"/>
        <v>51</v>
      </c>
    </row>
    <row r="136" spans="1:13">
      <c r="A136" t="s">
        <v>76</v>
      </c>
      <c r="B136" t="s">
        <v>77</v>
      </c>
      <c r="C136" t="s">
        <v>33</v>
      </c>
      <c r="D136" t="s">
        <v>36</v>
      </c>
      <c r="E136" s="3">
        <v>1342.95</v>
      </c>
      <c r="F136">
        <v>1</v>
      </c>
      <c r="G136" s="4">
        <v>0.1</v>
      </c>
      <c r="H136" s="5">
        <v>45626.290556238426</v>
      </c>
      <c r="I136" s="3">
        <v>290.85000000000002</v>
      </c>
      <c r="J136" s="6">
        <f t="shared" ca="1" si="12"/>
        <v>46323.798738425925</v>
      </c>
      <c r="L136" t="str">
        <f t="shared" si="13"/>
        <v>J.W.</v>
      </c>
      <c r="M136">
        <f t="shared" si="14"/>
        <v>43</v>
      </c>
    </row>
    <row r="137" spans="1:13">
      <c r="A137" t="s">
        <v>46</v>
      </c>
      <c r="B137" t="s">
        <v>28</v>
      </c>
      <c r="C137" t="s">
        <v>23</v>
      </c>
      <c r="D137" t="s">
        <v>24</v>
      </c>
      <c r="E137" s="3">
        <v>1195.95</v>
      </c>
      <c r="F137">
        <v>4</v>
      </c>
      <c r="G137" s="4">
        <v>0</v>
      </c>
      <c r="H137" s="5">
        <v>45626.36587947917</v>
      </c>
      <c r="I137" s="3">
        <v>356.02</v>
      </c>
      <c r="J137" s="6">
        <f t="shared" ca="1" si="12"/>
        <v>46323.798738425925</v>
      </c>
      <c r="L137" t="str">
        <f t="shared" si="13"/>
        <v>G.S.</v>
      </c>
      <c r="M137">
        <f t="shared" si="14"/>
        <v>73</v>
      </c>
    </row>
    <row r="138" spans="1:13">
      <c r="A138" t="s">
        <v>21</v>
      </c>
      <c r="B138" t="s">
        <v>22</v>
      </c>
      <c r="C138" t="s">
        <v>23</v>
      </c>
      <c r="D138" t="s">
        <v>36</v>
      </c>
      <c r="E138" s="3">
        <v>903.69</v>
      </c>
      <c r="F138">
        <v>6</v>
      </c>
      <c r="G138" s="4">
        <v>0.2</v>
      </c>
      <c r="H138" s="5">
        <v>45627.655610925925</v>
      </c>
      <c r="I138" s="3">
        <v>147.02000000000001</v>
      </c>
      <c r="J138" s="6">
        <f t="shared" ca="1" si="12"/>
        <v>46323.798738425925</v>
      </c>
      <c r="L138" t="str">
        <f t="shared" si="13"/>
        <v>D.Y.</v>
      </c>
      <c r="M138">
        <f t="shared" si="14"/>
        <v>119</v>
      </c>
    </row>
    <row r="139" spans="1:13">
      <c r="A139" t="s">
        <v>57</v>
      </c>
      <c r="B139" t="s">
        <v>43</v>
      </c>
      <c r="C139" t="s">
        <v>39</v>
      </c>
      <c r="D139" t="s">
        <v>30</v>
      </c>
      <c r="E139" s="3">
        <v>758.51</v>
      </c>
      <c r="F139">
        <v>10</v>
      </c>
      <c r="G139" s="4">
        <v>0.2</v>
      </c>
      <c r="H139" s="5">
        <v>45630.576721111109</v>
      </c>
      <c r="I139" s="3">
        <v>105.18</v>
      </c>
      <c r="J139" s="6">
        <f t="shared" ca="1" si="12"/>
        <v>46323.798738425925</v>
      </c>
      <c r="L139" t="str">
        <f t="shared" si="13"/>
        <v>D.L.</v>
      </c>
      <c r="M139">
        <f t="shared" si="14"/>
        <v>145</v>
      </c>
    </row>
    <row r="140" spans="1:13">
      <c r="A140" t="s">
        <v>47</v>
      </c>
      <c r="B140" t="s">
        <v>32</v>
      </c>
      <c r="C140" t="s">
        <v>29</v>
      </c>
      <c r="D140" t="s">
        <v>30</v>
      </c>
      <c r="E140" s="3">
        <v>1402.7</v>
      </c>
      <c r="F140">
        <v>10</v>
      </c>
      <c r="G140" s="4">
        <v>0.2</v>
      </c>
      <c r="H140" s="5">
        <v>45631.683405752316</v>
      </c>
      <c r="I140" s="3">
        <v>247.1</v>
      </c>
      <c r="J140" s="6">
        <f t="shared" ca="1" si="12"/>
        <v>46323.798738425925</v>
      </c>
      <c r="L140" t="str">
        <f t="shared" si="13"/>
        <v>E.D.</v>
      </c>
      <c r="M140">
        <f t="shared" si="14"/>
        <v>30</v>
      </c>
    </row>
    <row r="141" spans="1:13">
      <c r="A141" t="s">
        <v>47</v>
      </c>
      <c r="B141" t="s">
        <v>32</v>
      </c>
      <c r="C141" t="s">
        <v>25</v>
      </c>
      <c r="D141" t="s">
        <v>30</v>
      </c>
      <c r="E141" s="3">
        <v>564.54999999999995</v>
      </c>
      <c r="F141">
        <v>18</v>
      </c>
      <c r="G141" s="4">
        <v>0.05</v>
      </c>
      <c r="H141" s="5">
        <v>45632.679899756942</v>
      </c>
      <c r="I141" s="3">
        <v>163.37</v>
      </c>
      <c r="J141" s="6">
        <f t="shared" ca="1" si="12"/>
        <v>46323.798738425925</v>
      </c>
      <c r="L141" t="str">
        <f t="shared" si="13"/>
        <v>E.D.</v>
      </c>
      <c r="M141">
        <f t="shared" si="14"/>
        <v>176</v>
      </c>
    </row>
    <row r="142" spans="1:13">
      <c r="A142" t="s">
        <v>54</v>
      </c>
      <c r="B142" t="s">
        <v>55</v>
      </c>
      <c r="C142" t="s">
        <v>23</v>
      </c>
      <c r="D142" t="s">
        <v>26</v>
      </c>
      <c r="E142" s="3">
        <v>1271.1600000000001</v>
      </c>
      <c r="F142">
        <v>15</v>
      </c>
      <c r="G142" s="4">
        <v>0.2</v>
      </c>
      <c r="H142" s="5">
        <v>45633.802944930554</v>
      </c>
      <c r="I142" s="3">
        <v>250.5</v>
      </c>
      <c r="J142" s="6">
        <f t="shared" ca="1" si="12"/>
        <v>46323.798738425925</v>
      </c>
      <c r="L142" t="str">
        <f t="shared" si="13"/>
        <v>W.M.</v>
      </c>
      <c r="M142">
        <f t="shared" si="14"/>
        <v>54</v>
      </c>
    </row>
    <row r="143" spans="1:13">
      <c r="A143" t="s">
        <v>27</v>
      </c>
      <c r="B143" t="s">
        <v>28</v>
      </c>
      <c r="C143" t="s">
        <v>33</v>
      </c>
      <c r="D143" t="s">
        <v>50</v>
      </c>
      <c r="E143" s="3">
        <v>1089.8900000000001</v>
      </c>
      <c r="F143">
        <v>4</v>
      </c>
      <c r="G143" s="4">
        <v>0</v>
      </c>
      <c r="H143" s="5">
        <v>45637.898254930558</v>
      </c>
      <c r="I143" s="3">
        <v>344.74</v>
      </c>
      <c r="J143" s="6">
        <f t="shared" ca="1" si="12"/>
        <v>46323.798738425925</v>
      </c>
      <c r="L143" t="str">
        <f t="shared" si="13"/>
        <v>G.S.</v>
      </c>
      <c r="M143">
        <f t="shared" si="14"/>
        <v>85</v>
      </c>
    </row>
    <row r="144" spans="1:13">
      <c r="A144" t="s">
        <v>21</v>
      </c>
      <c r="B144" t="s">
        <v>22</v>
      </c>
      <c r="C144" t="s">
        <v>23</v>
      </c>
      <c r="D144" t="s">
        <v>30</v>
      </c>
      <c r="E144" s="3">
        <v>994.27</v>
      </c>
      <c r="F144">
        <v>6</v>
      </c>
      <c r="G144" s="4">
        <v>0.05</v>
      </c>
      <c r="H144" s="5">
        <v>45638.051126435188</v>
      </c>
      <c r="I144" s="3">
        <v>292.02</v>
      </c>
      <c r="J144" s="6">
        <f t="shared" ca="1" si="12"/>
        <v>46323.798738425925</v>
      </c>
      <c r="L144" t="str">
        <f t="shared" si="13"/>
        <v>D.Y.</v>
      </c>
      <c r="M144">
        <f t="shared" si="14"/>
        <v>101</v>
      </c>
    </row>
    <row r="145" spans="1:13">
      <c r="A145" t="s">
        <v>63</v>
      </c>
      <c r="B145" t="s">
        <v>49</v>
      </c>
      <c r="C145" t="s">
        <v>29</v>
      </c>
      <c r="D145" t="s">
        <v>50</v>
      </c>
      <c r="E145" s="3">
        <v>1474.39</v>
      </c>
      <c r="F145">
        <v>4</v>
      </c>
      <c r="G145" s="4">
        <v>0.1</v>
      </c>
      <c r="H145" s="5">
        <v>45639.022230717594</v>
      </c>
      <c r="I145" s="3">
        <v>329.22</v>
      </c>
      <c r="J145" s="6">
        <f t="shared" ca="1" si="12"/>
        <v>46323.798738425925</v>
      </c>
      <c r="L145" t="str">
        <f t="shared" si="13"/>
        <v>R.H.</v>
      </c>
      <c r="M145">
        <f t="shared" si="14"/>
        <v>16</v>
      </c>
    </row>
    <row r="146" spans="1:13">
      <c r="A146" t="s">
        <v>53</v>
      </c>
      <c r="B146" t="s">
        <v>38</v>
      </c>
      <c r="C146" t="s">
        <v>25</v>
      </c>
      <c r="D146" t="s">
        <v>30</v>
      </c>
      <c r="E146" s="3">
        <v>1333.52</v>
      </c>
      <c r="F146">
        <v>13</v>
      </c>
      <c r="G146" s="4">
        <v>0.15</v>
      </c>
      <c r="H146" s="5">
        <v>45640.919197881944</v>
      </c>
      <c r="I146" s="3">
        <v>282.38</v>
      </c>
      <c r="J146" s="6">
        <f t="shared" ca="1" si="12"/>
        <v>46323.798738425925</v>
      </c>
      <c r="L146" t="str">
        <f t="shared" si="13"/>
        <v>P.T.</v>
      </c>
      <c r="M146">
        <f t="shared" si="14"/>
        <v>45</v>
      </c>
    </row>
    <row r="147" spans="1:13">
      <c r="A147" t="s">
        <v>27</v>
      </c>
      <c r="B147" t="s">
        <v>28</v>
      </c>
      <c r="C147" t="s">
        <v>33</v>
      </c>
      <c r="D147" t="s">
        <v>26</v>
      </c>
      <c r="E147" s="3">
        <v>1388.54</v>
      </c>
      <c r="F147">
        <v>15</v>
      </c>
      <c r="G147" s="4">
        <v>0</v>
      </c>
      <c r="H147" s="5">
        <v>45647.227372175927</v>
      </c>
      <c r="I147" s="3">
        <v>407.09</v>
      </c>
      <c r="J147" s="6">
        <f t="shared" ca="1" si="12"/>
        <v>46323.798738425925</v>
      </c>
      <c r="L147" t="str">
        <f t="shared" si="13"/>
        <v>G.S.</v>
      </c>
      <c r="M147">
        <f t="shared" si="14"/>
        <v>34</v>
      </c>
    </row>
    <row r="148" spans="1:13">
      <c r="A148" t="s">
        <v>57</v>
      </c>
      <c r="B148" t="s">
        <v>43</v>
      </c>
      <c r="C148" t="s">
        <v>33</v>
      </c>
      <c r="D148" t="s">
        <v>50</v>
      </c>
      <c r="E148" s="3">
        <v>562.9</v>
      </c>
      <c r="F148">
        <v>3</v>
      </c>
      <c r="G148" s="4">
        <v>0.2</v>
      </c>
      <c r="H148" s="5">
        <v>45647.40163925926</v>
      </c>
      <c r="I148" s="3">
        <v>98.48</v>
      </c>
      <c r="J148" s="6">
        <f t="shared" ca="1" si="12"/>
        <v>46323.798738425925</v>
      </c>
      <c r="L148" t="str">
        <f t="shared" si="13"/>
        <v>D.L.</v>
      </c>
      <c r="M148">
        <f t="shared" si="14"/>
        <v>177</v>
      </c>
    </row>
    <row r="149" spans="1:13">
      <c r="A149" t="s">
        <v>51</v>
      </c>
      <c r="B149" t="s">
        <v>52</v>
      </c>
      <c r="C149" t="s">
        <v>23</v>
      </c>
      <c r="D149" t="s">
        <v>26</v>
      </c>
      <c r="E149" s="3">
        <v>1197.1199999999999</v>
      </c>
      <c r="F149">
        <v>11</v>
      </c>
      <c r="G149" s="4">
        <v>0.15</v>
      </c>
      <c r="H149" s="5">
        <v>45647.63205028935</v>
      </c>
      <c r="I149" s="3">
        <v>229.4</v>
      </c>
      <c r="J149" s="6">
        <f t="shared" ca="1" si="12"/>
        <v>46323.798738425925</v>
      </c>
      <c r="L149" t="str">
        <f t="shared" si="13"/>
        <v>N.A.</v>
      </c>
      <c r="M149">
        <f t="shared" si="14"/>
        <v>72</v>
      </c>
    </row>
    <row r="150" spans="1:13">
      <c r="A150" t="s">
        <v>31</v>
      </c>
      <c r="B150" t="s">
        <v>32</v>
      </c>
      <c r="C150" t="s">
        <v>39</v>
      </c>
      <c r="D150" t="s">
        <v>26</v>
      </c>
      <c r="E150" s="3">
        <v>429.7</v>
      </c>
      <c r="F150">
        <v>8</v>
      </c>
      <c r="G150" s="4">
        <v>0.05</v>
      </c>
      <c r="H150" s="5">
        <v>45650.156399375002</v>
      </c>
      <c r="I150" s="3">
        <v>80.180000000000007</v>
      </c>
      <c r="J150" s="6">
        <f t="shared" ca="1" si="12"/>
        <v>46323.798738425925</v>
      </c>
      <c r="L150" t="str">
        <f t="shared" si="13"/>
        <v>E.D.</v>
      </c>
      <c r="M150">
        <f t="shared" si="14"/>
        <v>196</v>
      </c>
    </row>
    <row r="151" spans="1:13">
      <c r="A151" t="s">
        <v>68</v>
      </c>
      <c r="B151" t="s">
        <v>55</v>
      </c>
      <c r="C151" t="s">
        <v>29</v>
      </c>
      <c r="D151" t="s">
        <v>24</v>
      </c>
      <c r="E151" s="3">
        <v>1132.3499999999999</v>
      </c>
      <c r="F151">
        <v>12</v>
      </c>
      <c r="G151" s="4">
        <v>0.05</v>
      </c>
      <c r="H151" s="5">
        <v>45654.974238009258</v>
      </c>
      <c r="I151" s="3">
        <v>300.37</v>
      </c>
      <c r="J151" s="6">
        <f t="shared" ca="1" si="12"/>
        <v>46323.798738425925</v>
      </c>
      <c r="L151" t="str">
        <f t="shared" si="13"/>
        <v>W.M.</v>
      </c>
      <c r="M151">
        <f t="shared" si="14"/>
        <v>78</v>
      </c>
    </row>
    <row r="152" spans="1:13">
      <c r="A152" t="s">
        <v>53</v>
      </c>
      <c r="B152" t="s">
        <v>38</v>
      </c>
      <c r="C152" t="s">
        <v>23</v>
      </c>
      <c r="D152" t="s">
        <v>26</v>
      </c>
      <c r="E152" s="3">
        <v>871.01</v>
      </c>
      <c r="F152">
        <v>12</v>
      </c>
      <c r="G152" s="4">
        <v>0.05</v>
      </c>
      <c r="H152" s="5">
        <v>45655.679133229169</v>
      </c>
      <c r="I152" s="3">
        <v>227.93</v>
      </c>
      <c r="J152" s="6">
        <f t="shared" ca="1" si="12"/>
        <v>46323.798738425925</v>
      </c>
      <c r="L152" t="str">
        <f t="shared" si="13"/>
        <v>P.T.</v>
      </c>
      <c r="M152">
        <f t="shared" si="14"/>
        <v>124</v>
      </c>
    </row>
    <row r="153" spans="1:13">
      <c r="A153" t="s">
        <v>80</v>
      </c>
      <c r="B153" t="s">
        <v>79</v>
      </c>
      <c r="C153" t="s">
        <v>39</v>
      </c>
      <c r="D153" t="s">
        <v>26</v>
      </c>
      <c r="E153" s="3">
        <v>1470.09</v>
      </c>
      <c r="F153">
        <v>19</v>
      </c>
      <c r="G153" s="4">
        <v>0.1</v>
      </c>
      <c r="H153" s="5">
        <v>45655.71288644676</v>
      </c>
      <c r="I153" s="3">
        <v>380.04</v>
      </c>
      <c r="J153" s="6">
        <f t="shared" ca="1" si="12"/>
        <v>46323.798738425925</v>
      </c>
      <c r="L153" t="str">
        <f t="shared" si="13"/>
        <v>E.B.</v>
      </c>
      <c r="M153">
        <f t="shared" si="14"/>
        <v>18</v>
      </c>
    </row>
    <row r="154" spans="1:13">
      <c r="A154" t="s">
        <v>34</v>
      </c>
      <c r="B154" t="s">
        <v>35</v>
      </c>
      <c r="C154" t="s">
        <v>33</v>
      </c>
      <c r="D154" t="s">
        <v>26</v>
      </c>
      <c r="E154" s="3">
        <v>1564.41</v>
      </c>
      <c r="F154">
        <v>13</v>
      </c>
      <c r="G154" s="4">
        <v>0</v>
      </c>
      <c r="H154" s="5">
        <v>45661.711575729169</v>
      </c>
      <c r="I154" s="3">
        <v>451.75</v>
      </c>
      <c r="J154" s="6">
        <f t="shared" ca="1" si="12"/>
        <v>46323.798738425925</v>
      </c>
      <c r="L154" t="str">
        <f t="shared" si="13"/>
        <v>L.J.</v>
      </c>
      <c r="M154">
        <f t="shared" si="14"/>
        <v>5</v>
      </c>
    </row>
    <row r="155" spans="1:13">
      <c r="A155" t="s">
        <v>47</v>
      </c>
      <c r="B155" t="s">
        <v>32</v>
      </c>
      <c r="C155" t="s">
        <v>39</v>
      </c>
      <c r="D155" t="s">
        <v>24</v>
      </c>
      <c r="E155" s="3">
        <v>571.65</v>
      </c>
      <c r="F155">
        <v>9</v>
      </c>
      <c r="G155" s="4">
        <v>0.15</v>
      </c>
      <c r="H155" s="5">
        <v>45665.295120844909</v>
      </c>
      <c r="I155" s="3">
        <v>140.09</v>
      </c>
      <c r="J155" s="6">
        <f t="shared" ca="1" si="12"/>
        <v>46323.798738425925</v>
      </c>
      <c r="L155" t="str">
        <f t="shared" si="13"/>
        <v>E.D.</v>
      </c>
      <c r="M155">
        <f t="shared" si="14"/>
        <v>174</v>
      </c>
    </row>
    <row r="156" spans="1:13">
      <c r="A156" t="s">
        <v>44</v>
      </c>
      <c r="B156" t="s">
        <v>45</v>
      </c>
      <c r="C156" t="s">
        <v>23</v>
      </c>
      <c r="D156" t="s">
        <v>26</v>
      </c>
      <c r="E156" s="3">
        <v>442.35</v>
      </c>
      <c r="F156">
        <v>9</v>
      </c>
      <c r="G156" s="4">
        <v>0.15</v>
      </c>
      <c r="H156" s="5">
        <v>45667.515965358798</v>
      </c>
      <c r="I156" s="3">
        <v>122.75</v>
      </c>
      <c r="J156" s="6">
        <f t="shared" ca="1" si="12"/>
        <v>46323.798738425925</v>
      </c>
      <c r="L156" t="str">
        <f t="shared" si="13"/>
        <v>M.W.</v>
      </c>
      <c r="M156">
        <f t="shared" si="14"/>
        <v>194</v>
      </c>
    </row>
    <row r="157" spans="1:13">
      <c r="A157" t="s">
        <v>57</v>
      </c>
      <c r="B157" t="s">
        <v>43</v>
      </c>
      <c r="C157" t="s">
        <v>25</v>
      </c>
      <c r="D157" t="s">
        <v>30</v>
      </c>
      <c r="E157" s="3">
        <v>942.7</v>
      </c>
      <c r="F157">
        <v>14</v>
      </c>
      <c r="G157" s="4">
        <v>0.2</v>
      </c>
      <c r="H157" s="5">
        <v>45674.086417129627</v>
      </c>
      <c r="I157" s="3">
        <v>203.92</v>
      </c>
      <c r="J157" s="6">
        <f t="shared" ca="1" si="12"/>
        <v>46323.798738425925</v>
      </c>
      <c r="L157" t="str">
        <f t="shared" si="13"/>
        <v>D.L.</v>
      </c>
      <c r="M157">
        <f t="shared" si="14"/>
        <v>110</v>
      </c>
    </row>
    <row r="158" spans="1:13">
      <c r="A158" t="s">
        <v>58</v>
      </c>
      <c r="B158" t="s">
        <v>59</v>
      </c>
      <c r="C158" t="s">
        <v>25</v>
      </c>
      <c r="D158" t="s">
        <v>50</v>
      </c>
      <c r="E158" s="3">
        <v>601.4</v>
      </c>
      <c r="F158">
        <v>16</v>
      </c>
      <c r="G158" s="4">
        <v>0</v>
      </c>
      <c r="H158" s="5">
        <v>45682.198940833332</v>
      </c>
      <c r="I158" s="3">
        <v>193.27</v>
      </c>
      <c r="J158" s="6">
        <f t="shared" ca="1" si="12"/>
        <v>46323.798738425925</v>
      </c>
      <c r="L158" t="str">
        <f t="shared" si="13"/>
        <v>L.W.</v>
      </c>
      <c r="M158">
        <f t="shared" si="14"/>
        <v>170</v>
      </c>
    </row>
    <row r="159" spans="1:13">
      <c r="A159" t="s">
        <v>76</v>
      </c>
      <c r="B159" t="s">
        <v>77</v>
      </c>
      <c r="C159" t="s">
        <v>29</v>
      </c>
      <c r="D159" t="s">
        <v>26</v>
      </c>
      <c r="E159" s="3">
        <v>415.2</v>
      </c>
      <c r="F159">
        <v>7</v>
      </c>
      <c r="G159" s="4">
        <v>0.1</v>
      </c>
      <c r="H159" s="5">
        <v>45683.361885763887</v>
      </c>
      <c r="I159" s="3">
        <v>66.239999999999995</v>
      </c>
      <c r="J159" s="6">
        <f t="shared" ca="1" si="12"/>
        <v>46323.798738425925</v>
      </c>
      <c r="L159" t="str">
        <f t="shared" si="13"/>
        <v>J.W.</v>
      </c>
      <c r="M159">
        <f t="shared" si="14"/>
        <v>198</v>
      </c>
    </row>
    <row r="160" spans="1:13">
      <c r="A160" t="s">
        <v>64</v>
      </c>
      <c r="B160" t="s">
        <v>65</v>
      </c>
      <c r="C160" t="s">
        <v>25</v>
      </c>
      <c r="D160" t="s">
        <v>50</v>
      </c>
      <c r="E160" s="3">
        <v>1438.08</v>
      </c>
      <c r="F160">
        <v>6</v>
      </c>
      <c r="G160" s="4">
        <v>0.05</v>
      </c>
      <c r="H160" s="5">
        <v>45686.951052916666</v>
      </c>
      <c r="I160" s="3">
        <v>376.87</v>
      </c>
      <c r="J160" s="6">
        <f t="shared" ca="1" si="12"/>
        <v>46323.798738425925</v>
      </c>
      <c r="L160" t="str">
        <f t="shared" si="13"/>
        <v>J.T.</v>
      </c>
      <c r="M160">
        <f t="shared" si="14"/>
        <v>25</v>
      </c>
    </row>
    <row r="161" spans="1:13">
      <c r="A161" t="s">
        <v>46</v>
      </c>
      <c r="B161" t="s">
        <v>28</v>
      </c>
      <c r="C161" t="s">
        <v>33</v>
      </c>
      <c r="D161" t="s">
        <v>36</v>
      </c>
      <c r="E161" s="3">
        <v>1237.75</v>
      </c>
      <c r="F161">
        <v>18</v>
      </c>
      <c r="G161" s="4">
        <v>0.15</v>
      </c>
      <c r="H161" s="5">
        <v>45690.155270625</v>
      </c>
      <c r="I161" s="3">
        <v>251.38</v>
      </c>
      <c r="J161" s="6">
        <f t="shared" ca="1" si="12"/>
        <v>46323.798738425925</v>
      </c>
      <c r="L161" t="str">
        <f t="shared" si="13"/>
        <v>G.S.</v>
      </c>
      <c r="M161">
        <f t="shared" si="14"/>
        <v>61</v>
      </c>
    </row>
    <row r="162" spans="1:13">
      <c r="A162" t="s">
        <v>64</v>
      </c>
      <c r="B162" t="s">
        <v>65</v>
      </c>
      <c r="C162" t="s">
        <v>25</v>
      </c>
      <c r="D162" t="s">
        <v>30</v>
      </c>
      <c r="E162" s="3">
        <v>591.24</v>
      </c>
      <c r="F162">
        <v>7</v>
      </c>
      <c r="G162" s="4">
        <v>0.05</v>
      </c>
      <c r="H162" s="5">
        <v>45692.879574375002</v>
      </c>
      <c r="I162" s="3">
        <v>154.6</v>
      </c>
      <c r="J162" s="6">
        <f t="shared" ref="J162:J193" ca="1" si="15">NOW()</f>
        <v>46323.798738425925</v>
      </c>
      <c r="L162" t="str">
        <f t="shared" ref="L162:L193" si="16">LEFT(B162,1)&amp;"."&amp;LEFT(RIGHT(B162,LEN(B162)-FIND(" ",B162)),1)&amp;"."</f>
        <v>J.T.</v>
      </c>
      <c r="M162">
        <f t="shared" ref="M162:M193" si="17">_xlfn.RANK.EQ(E162,$E$2:$E$201,0)</f>
        <v>172</v>
      </c>
    </row>
    <row r="163" spans="1:13">
      <c r="A163" t="s">
        <v>27</v>
      </c>
      <c r="B163" t="s">
        <v>28</v>
      </c>
      <c r="C163" t="s">
        <v>25</v>
      </c>
      <c r="D163" t="s">
        <v>36</v>
      </c>
      <c r="E163" s="3">
        <v>910.64</v>
      </c>
      <c r="F163">
        <v>7</v>
      </c>
      <c r="G163" s="4">
        <v>0</v>
      </c>
      <c r="H163" s="5">
        <v>45693.949436238428</v>
      </c>
      <c r="I163" s="3">
        <v>269.55</v>
      </c>
      <c r="J163" s="6">
        <f t="shared" ca="1" si="15"/>
        <v>46323.798738425925</v>
      </c>
      <c r="L163" t="str">
        <f t="shared" si="16"/>
        <v>G.S.</v>
      </c>
      <c r="M163">
        <f t="shared" si="17"/>
        <v>114</v>
      </c>
    </row>
    <row r="164" spans="1:13">
      <c r="A164" t="s">
        <v>62</v>
      </c>
      <c r="B164" t="s">
        <v>61</v>
      </c>
      <c r="C164" t="s">
        <v>25</v>
      </c>
      <c r="D164" t="s">
        <v>36</v>
      </c>
      <c r="E164" s="3">
        <v>1481.33</v>
      </c>
      <c r="F164">
        <v>8</v>
      </c>
      <c r="G164" s="4">
        <v>0.2</v>
      </c>
      <c r="H164" s="5">
        <v>45696.771377326389</v>
      </c>
      <c r="I164" s="3">
        <v>255.47</v>
      </c>
      <c r="J164" s="6">
        <f t="shared" ca="1" si="15"/>
        <v>46323.798738425925</v>
      </c>
      <c r="L164" t="str">
        <f t="shared" si="16"/>
        <v>M.S.</v>
      </c>
      <c r="M164">
        <f t="shared" si="17"/>
        <v>15</v>
      </c>
    </row>
    <row r="165" spans="1:13">
      <c r="A165" t="s">
        <v>73</v>
      </c>
      <c r="B165" t="s">
        <v>74</v>
      </c>
      <c r="C165" t="s">
        <v>29</v>
      </c>
      <c r="D165" t="s">
        <v>24</v>
      </c>
      <c r="E165" s="3">
        <v>1054.53</v>
      </c>
      <c r="F165">
        <v>4</v>
      </c>
      <c r="G165" s="4">
        <v>0.15</v>
      </c>
      <c r="H165" s="5">
        <v>45698.056069027778</v>
      </c>
      <c r="I165" s="3">
        <v>246.58</v>
      </c>
      <c r="J165" s="6">
        <f t="shared" ca="1" si="15"/>
        <v>46323.798738425925</v>
      </c>
      <c r="L165" t="str">
        <f t="shared" si="16"/>
        <v>R.G.</v>
      </c>
      <c r="M165">
        <f t="shared" si="17"/>
        <v>91</v>
      </c>
    </row>
    <row r="166" spans="1:13">
      <c r="A166" t="s">
        <v>53</v>
      </c>
      <c r="B166" t="s">
        <v>38</v>
      </c>
      <c r="C166" t="s">
        <v>23</v>
      </c>
      <c r="D166" t="s">
        <v>50</v>
      </c>
      <c r="E166" s="3">
        <v>1547.65</v>
      </c>
      <c r="F166">
        <v>8</v>
      </c>
      <c r="G166" s="4">
        <v>0</v>
      </c>
      <c r="H166" s="5">
        <v>45698.822375231481</v>
      </c>
      <c r="I166" s="3">
        <v>457.15</v>
      </c>
      <c r="J166" s="6">
        <f t="shared" ca="1" si="15"/>
        <v>46323.798738425925</v>
      </c>
      <c r="L166" t="str">
        <f t="shared" si="16"/>
        <v>P.T.</v>
      </c>
      <c r="M166">
        <f t="shared" si="17"/>
        <v>8</v>
      </c>
    </row>
    <row r="167" spans="1:13">
      <c r="A167" t="s">
        <v>40</v>
      </c>
      <c r="B167" t="s">
        <v>41</v>
      </c>
      <c r="C167" t="s">
        <v>33</v>
      </c>
      <c r="D167" t="s">
        <v>36</v>
      </c>
      <c r="E167" s="3">
        <v>1406.41</v>
      </c>
      <c r="F167">
        <v>6</v>
      </c>
      <c r="G167" s="4">
        <v>0.1</v>
      </c>
      <c r="H167" s="5">
        <v>45702.175297488429</v>
      </c>
      <c r="I167" s="3">
        <v>300.60000000000002</v>
      </c>
      <c r="J167" s="6">
        <f t="shared" ca="1" si="15"/>
        <v>46323.798738425925</v>
      </c>
      <c r="L167" t="str">
        <f t="shared" si="16"/>
        <v>S.C.</v>
      </c>
      <c r="M167">
        <f t="shared" si="17"/>
        <v>28</v>
      </c>
    </row>
    <row r="168" spans="1:13">
      <c r="A168" t="s">
        <v>48</v>
      </c>
      <c r="B168" t="s">
        <v>49</v>
      </c>
      <c r="C168" t="s">
        <v>29</v>
      </c>
      <c r="D168" t="s">
        <v>36</v>
      </c>
      <c r="E168" s="3">
        <v>507.3</v>
      </c>
      <c r="F168">
        <v>6</v>
      </c>
      <c r="G168" s="4">
        <v>0.1</v>
      </c>
      <c r="H168" s="5">
        <v>45702.948664722222</v>
      </c>
      <c r="I168" s="3">
        <v>112.12</v>
      </c>
      <c r="J168" s="6">
        <f t="shared" ca="1" si="15"/>
        <v>46323.798738425925</v>
      </c>
      <c r="L168" t="str">
        <f t="shared" si="16"/>
        <v>R.H.</v>
      </c>
      <c r="M168">
        <f t="shared" si="17"/>
        <v>186</v>
      </c>
    </row>
    <row r="169" spans="1:13">
      <c r="A169" t="s">
        <v>54</v>
      </c>
      <c r="B169" t="s">
        <v>55</v>
      </c>
      <c r="C169" t="s">
        <v>39</v>
      </c>
      <c r="D169" t="s">
        <v>50</v>
      </c>
      <c r="E169" s="3">
        <v>849.04</v>
      </c>
      <c r="F169">
        <v>17</v>
      </c>
      <c r="G169" s="4">
        <v>0.05</v>
      </c>
      <c r="H169" s="5">
        <v>45703.04774170139</v>
      </c>
      <c r="I169" s="3">
        <v>222.67</v>
      </c>
      <c r="J169" s="6">
        <f t="shared" ca="1" si="15"/>
        <v>46323.798738425925</v>
      </c>
      <c r="L169" t="str">
        <f t="shared" si="16"/>
        <v>W.M.</v>
      </c>
      <c r="M169">
        <f t="shared" si="17"/>
        <v>127</v>
      </c>
    </row>
    <row r="170" spans="1:13">
      <c r="A170" t="s">
        <v>78</v>
      </c>
      <c r="B170" t="s">
        <v>79</v>
      </c>
      <c r="C170" t="s">
        <v>23</v>
      </c>
      <c r="D170" t="s">
        <v>30</v>
      </c>
      <c r="E170" s="3">
        <v>1114.98</v>
      </c>
      <c r="F170">
        <v>16</v>
      </c>
      <c r="G170" s="4">
        <v>0.15</v>
      </c>
      <c r="H170" s="5">
        <v>45703.360756215276</v>
      </c>
      <c r="I170" s="3">
        <v>256.07</v>
      </c>
      <c r="J170" s="6">
        <f t="shared" ca="1" si="15"/>
        <v>46323.798738425925</v>
      </c>
      <c r="L170" t="str">
        <f t="shared" si="16"/>
        <v>E.B.</v>
      </c>
      <c r="M170">
        <f t="shared" si="17"/>
        <v>80</v>
      </c>
    </row>
    <row r="171" spans="1:13">
      <c r="A171" t="s">
        <v>44</v>
      </c>
      <c r="B171" t="s">
        <v>45</v>
      </c>
      <c r="C171" t="s">
        <v>33</v>
      </c>
      <c r="D171" t="s">
        <v>26</v>
      </c>
      <c r="E171" s="3">
        <v>744.65</v>
      </c>
      <c r="F171">
        <v>7</v>
      </c>
      <c r="G171" s="4">
        <v>0.05</v>
      </c>
      <c r="H171" s="5">
        <v>45703.737398657409</v>
      </c>
      <c r="I171" s="3">
        <v>170.79</v>
      </c>
      <c r="J171" s="6">
        <f t="shared" ca="1" si="15"/>
        <v>46323.798738425925</v>
      </c>
      <c r="L171" t="str">
        <f t="shared" si="16"/>
        <v>M.W.</v>
      </c>
      <c r="M171">
        <f t="shared" si="17"/>
        <v>147</v>
      </c>
    </row>
    <row r="172" spans="1:13">
      <c r="A172" t="s">
        <v>71</v>
      </c>
      <c r="B172" t="s">
        <v>72</v>
      </c>
      <c r="C172" t="s">
        <v>23</v>
      </c>
      <c r="D172" t="s">
        <v>24</v>
      </c>
      <c r="E172" s="3">
        <v>903.67</v>
      </c>
      <c r="F172">
        <v>7</v>
      </c>
      <c r="G172" s="4">
        <v>0.15</v>
      </c>
      <c r="H172" s="5">
        <v>45705.667154780094</v>
      </c>
      <c r="I172" s="3">
        <v>166.53</v>
      </c>
      <c r="J172" s="6">
        <f t="shared" ca="1" si="15"/>
        <v>46323.798738425925</v>
      </c>
      <c r="L172" t="str">
        <f t="shared" si="16"/>
        <v>S.A.</v>
      </c>
      <c r="M172">
        <f t="shared" si="17"/>
        <v>120</v>
      </c>
    </row>
    <row r="173" spans="1:13">
      <c r="A173" t="s">
        <v>63</v>
      </c>
      <c r="B173" t="s">
        <v>49</v>
      </c>
      <c r="C173" t="s">
        <v>25</v>
      </c>
      <c r="D173" t="s">
        <v>26</v>
      </c>
      <c r="E173" s="3">
        <v>1033.44</v>
      </c>
      <c r="F173">
        <v>16</v>
      </c>
      <c r="G173" s="4">
        <v>0.1</v>
      </c>
      <c r="H173" s="5">
        <v>45706.655123240744</v>
      </c>
      <c r="I173" s="3">
        <v>271.52999999999997</v>
      </c>
      <c r="J173" s="6">
        <f t="shared" ca="1" si="15"/>
        <v>46323.798738425925</v>
      </c>
      <c r="L173" t="str">
        <f t="shared" si="16"/>
        <v>R.H.</v>
      </c>
      <c r="M173">
        <f t="shared" si="17"/>
        <v>94</v>
      </c>
    </row>
    <row r="174" spans="1:13">
      <c r="A174" t="s">
        <v>68</v>
      </c>
      <c r="B174" t="s">
        <v>55</v>
      </c>
      <c r="C174" t="s">
        <v>23</v>
      </c>
      <c r="D174" t="s">
        <v>50</v>
      </c>
      <c r="E174" s="3">
        <v>1193.1600000000001</v>
      </c>
      <c r="F174">
        <v>11</v>
      </c>
      <c r="G174" s="4">
        <v>0.15</v>
      </c>
      <c r="H174" s="5">
        <v>45712.608101770835</v>
      </c>
      <c r="I174" s="3">
        <v>264.92</v>
      </c>
      <c r="J174" s="6">
        <f t="shared" ca="1" si="15"/>
        <v>46323.798738425925</v>
      </c>
      <c r="L174" t="str">
        <f t="shared" si="16"/>
        <v>W.M.</v>
      </c>
      <c r="M174">
        <f t="shared" si="17"/>
        <v>74</v>
      </c>
    </row>
    <row r="175" spans="1:13">
      <c r="A175" t="s">
        <v>60</v>
      </c>
      <c r="B175" t="s">
        <v>61</v>
      </c>
      <c r="C175" t="s">
        <v>29</v>
      </c>
      <c r="D175" t="s">
        <v>30</v>
      </c>
      <c r="E175" s="3">
        <v>1199</v>
      </c>
      <c r="F175">
        <v>18</v>
      </c>
      <c r="G175" s="4">
        <v>0.05</v>
      </c>
      <c r="H175" s="5">
        <v>45713.481018009261</v>
      </c>
      <c r="I175" s="3">
        <v>302.07</v>
      </c>
      <c r="J175" s="6">
        <f t="shared" ca="1" si="15"/>
        <v>46323.798738425925</v>
      </c>
      <c r="L175" t="str">
        <f t="shared" si="16"/>
        <v>M.S.</v>
      </c>
      <c r="M175">
        <f t="shared" si="17"/>
        <v>71</v>
      </c>
    </row>
    <row r="176" spans="1:13">
      <c r="A176" t="s">
        <v>34</v>
      </c>
      <c r="B176" t="s">
        <v>35</v>
      </c>
      <c r="C176" t="s">
        <v>25</v>
      </c>
      <c r="D176" t="s">
        <v>30</v>
      </c>
      <c r="E176" s="3">
        <v>450.25</v>
      </c>
      <c r="F176">
        <v>16</v>
      </c>
      <c r="G176" s="4">
        <v>0.2</v>
      </c>
      <c r="H176" s="5">
        <v>45713.971503668981</v>
      </c>
      <c r="I176" s="3">
        <v>121.78</v>
      </c>
      <c r="J176" s="6">
        <f t="shared" ca="1" si="15"/>
        <v>46323.798738425925</v>
      </c>
      <c r="L176" t="str">
        <f t="shared" si="16"/>
        <v>L.J.</v>
      </c>
      <c r="M176">
        <f t="shared" si="17"/>
        <v>193</v>
      </c>
    </row>
    <row r="177" spans="1:13">
      <c r="A177" t="s">
        <v>53</v>
      </c>
      <c r="B177" t="s">
        <v>38</v>
      </c>
      <c r="C177" t="s">
        <v>39</v>
      </c>
      <c r="D177" t="s">
        <v>24</v>
      </c>
      <c r="E177" s="3">
        <v>669.76</v>
      </c>
      <c r="F177">
        <v>18</v>
      </c>
      <c r="G177" s="4">
        <v>0</v>
      </c>
      <c r="H177" s="5">
        <v>45717.296484386578</v>
      </c>
      <c r="I177" s="3">
        <v>179.97</v>
      </c>
      <c r="J177" s="6">
        <f t="shared" ca="1" si="15"/>
        <v>46323.798738425925</v>
      </c>
      <c r="L177" t="str">
        <f t="shared" si="16"/>
        <v>P.T.</v>
      </c>
      <c r="M177">
        <f t="shared" si="17"/>
        <v>156</v>
      </c>
    </row>
    <row r="178" spans="1:13">
      <c r="A178" t="s">
        <v>78</v>
      </c>
      <c r="B178" t="s">
        <v>79</v>
      </c>
      <c r="C178" t="s">
        <v>39</v>
      </c>
      <c r="D178" t="s">
        <v>26</v>
      </c>
      <c r="E178" s="3">
        <v>657.5</v>
      </c>
      <c r="F178">
        <v>12</v>
      </c>
      <c r="G178" s="4">
        <v>0.05</v>
      </c>
      <c r="H178" s="5">
        <v>45717.989334652775</v>
      </c>
      <c r="I178" s="3">
        <v>156.25</v>
      </c>
      <c r="J178" s="6">
        <f t="shared" ca="1" si="15"/>
        <v>46323.798738425925</v>
      </c>
      <c r="L178" t="str">
        <f t="shared" si="16"/>
        <v>E.B.</v>
      </c>
      <c r="M178">
        <f t="shared" si="17"/>
        <v>158</v>
      </c>
    </row>
    <row r="179" spans="1:13">
      <c r="A179" t="s">
        <v>27</v>
      </c>
      <c r="B179" t="s">
        <v>28</v>
      </c>
      <c r="C179" t="s">
        <v>39</v>
      </c>
      <c r="D179" t="s">
        <v>36</v>
      </c>
      <c r="E179" s="3">
        <v>842.12</v>
      </c>
      <c r="F179">
        <v>10</v>
      </c>
      <c r="G179" s="4">
        <v>0.1</v>
      </c>
      <c r="H179" s="5">
        <v>45718.741637141204</v>
      </c>
      <c r="I179" s="3">
        <v>208.76</v>
      </c>
      <c r="J179" s="6">
        <f t="shared" ca="1" si="15"/>
        <v>46323.798738425925</v>
      </c>
      <c r="L179" t="str">
        <f t="shared" si="16"/>
        <v>G.S.</v>
      </c>
      <c r="M179">
        <f t="shared" si="17"/>
        <v>129</v>
      </c>
    </row>
    <row r="180" spans="1:13">
      <c r="A180" t="s">
        <v>53</v>
      </c>
      <c r="B180" t="s">
        <v>38</v>
      </c>
      <c r="C180" t="s">
        <v>25</v>
      </c>
      <c r="D180" t="s">
        <v>30</v>
      </c>
      <c r="E180" s="3">
        <v>541.89</v>
      </c>
      <c r="F180">
        <v>6</v>
      </c>
      <c r="G180" s="4">
        <v>0.2</v>
      </c>
      <c r="H180" s="5">
        <v>45719.542926412039</v>
      </c>
      <c r="I180" s="3">
        <v>128.19</v>
      </c>
      <c r="J180" s="6">
        <f t="shared" ca="1" si="15"/>
        <v>46323.798738425925</v>
      </c>
      <c r="L180" t="str">
        <f t="shared" si="16"/>
        <v>P.T.</v>
      </c>
      <c r="M180">
        <f t="shared" si="17"/>
        <v>182</v>
      </c>
    </row>
    <row r="181" spans="1:13">
      <c r="A181" t="s">
        <v>53</v>
      </c>
      <c r="B181" t="s">
        <v>38</v>
      </c>
      <c r="C181" t="s">
        <v>29</v>
      </c>
      <c r="D181" t="s">
        <v>50</v>
      </c>
      <c r="E181" s="3">
        <v>560.05999999999995</v>
      </c>
      <c r="F181">
        <v>14</v>
      </c>
      <c r="G181" s="4">
        <v>0</v>
      </c>
      <c r="H181" s="5">
        <v>45720.343979664351</v>
      </c>
      <c r="I181" s="3">
        <v>142.41</v>
      </c>
      <c r="J181" s="6">
        <f t="shared" ca="1" si="15"/>
        <v>46323.798738425925</v>
      </c>
      <c r="L181" t="str">
        <f t="shared" si="16"/>
        <v>P.T.</v>
      </c>
      <c r="M181">
        <f t="shared" si="17"/>
        <v>179</v>
      </c>
    </row>
    <row r="182" spans="1:13">
      <c r="A182" t="s">
        <v>47</v>
      </c>
      <c r="B182" t="s">
        <v>32</v>
      </c>
      <c r="C182" t="s">
        <v>33</v>
      </c>
      <c r="D182" t="s">
        <v>50</v>
      </c>
      <c r="E182" s="3">
        <v>520.9</v>
      </c>
      <c r="F182">
        <v>16</v>
      </c>
      <c r="G182" s="4">
        <v>0.2</v>
      </c>
      <c r="H182" s="5">
        <v>45721.184016840278</v>
      </c>
      <c r="I182" s="3">
        <v>63.75</v>
      </c>
      <c r="J182" s="6">
        <f t="shared" ca="1" si="15"/>
        <v>46323.798738425925</v>
      </c>
      <c r="L182" t="str">
        <f t="shared" si="16"/>
        <v>E.D.</v>
      </c>
      <c r="M182">
        <f t="shared" si="17"/>
        <v>185</v>
      </c>
    </row>
    <row r="183" spans="1:13">
      <c r="A183" t="s">
        <v>21</v>
      </c>
      <c r="B183" t="s">
        <v>22</v>
      </c>
      <c r="C183" t="s">
        <v>25</v>
      </c>
      <c r="D183" t="s">
        <v>50</v>
      </c>
      <c r="E183" s="3">
        <v>1264.77</v>
      </c>
      <c r="F183">
        <v>19</v>
      </c>
      <c r="G183" s="4">
        <v>0.1</v>
      </c>
      <c r="H183" s="5">
        <v>45722.23162244213</v>
      </c>
      <c r="I183" s="3">
        <v>293.07</v>
      </c>
      <c r="J183" s="6">
        <f t="shared" ca="1" si="15"/>
        <v>46323.798738425925</v>
      </c>
      <c r="L183" t="str">
        <f t="shared" si="16"/>
        <v>D.Y.</v>
      </c>
      <c r="M183">
        <f t="shared" si="17"/>
        <v>55</v>
      </c>
    </row>
    <row r="184" spans="1:13">
      <c r="A184" t="s">
        <v>27</v>
      </c>
      <c r="B184" t="s">
        <v>28</v>
      </c>
      <c r="C184" t="s">
        <v>33</v>
      </c>
      <c r="D184" t="s">
        <v>24</v>
      </c>
      <c r="E184" s="3">
        <v>1249.04</v>
      </c>
      <c r="F184">
        <v>12</v>
      </c>
      <c r="G184" s="4">
        <v>0.05</v>
      </c>
      <c r="H184" s="5">
        <v>45723.40244672454</v>
      </c>
      <c r="I184" s="3">
        <v>304.07</v>
      </c>
      <c r="J184" s="6">
        <f t="shared" ca="1" si="15"/>
        <v>46323.798738425925</v>
      </c>
      <c r="L184" t="str">
        <f t="shared" si="16"/>
        <v>G.S.</v>
      </c>
      <c r="M184">
        <f t="shared" si="17"/>
        <v>60</v>
      </c>
    </row>
    <row r="185" spans="1:13">
      <c r="A185" t="s">
        <v>62</v>
      </c>
      <c r="B185" t="s">
        <v>61</v>
      </c>
      <c r="C185" t="s">
        <v>23</v>
      </c>
      <c r="D185" t="s">
        <v>50</v>
      </c>
      <c r="E185" s="3">
        <v>1256.06</v>
      </c>
      <c r="F185">
        <v>5</v>
      </c>
      <c r="G185" s="4">
        <v>0.2</v>
      </c>
      <c r="H185" s="5">
        <v>45727.283636956017</v>
      </c>
      <c r="I185" s="3">
        <v>209</v>
      </c>
      <c r="J185" s="6">
        <f t="shared" ca="1" si="15"/>
        <v>46323.798738425925</v>
      </c>
      <c r="L185" t="str">
        <f t="shared" si="16"/>
        <v>M.S.</v>
      </c>
      <c r="M185">
        <f t="shared" si="17"/>
        <v>57</v>
      </c>
    </row>
    <row r="186" spans="1:13">
      <c r="A186" t="s">
        <v>73</v>
      </c>
      <c r="B186" t="s">
        <v>74</v>
      </c>
      <c r="C186" t="s">
        <v>23</v>
      </c>
      <c r="D186" t="s">
        <v>36</v>
      </c>
      <c r="E186" s="3">
        <v>732.44</v>
      </c>
      <c r="F186">
        <v>11</v>
      </c>
      <c r="G186" s="4">
        <v>0.1</v>
      </c>
      <c r="H186" s="5">
        <v>45727.81003090278</v>
      </c>
      <c r="I186" s="3">
        <v>173.08</v>
      </c>
      <c r="J186" s="6">
        <f t="shared" ca="1" si="15"/>
        <v>46323.798738425925</v>
      </c>
      <c r="L186" t="str">
        <f t="shared" si="16"/>
        <v>R.G.</v>
      </c>
      <c r="M186">
        <f t="shared" si="17"/>
        <v>149</v>
      </c>
    </row>
    <row r="187" spans="1:13">
      <c r="A187" t="s">
        <v>73</v>
      </c>
      <c r="B187" t="s">
        <v>74</v>
      </c>
      <c r="C187" t="s">
        <v>23</v>
      </c>
      <c r="D187" t="s">
        <v>30</v>
      </c>
      <c r="E187" s="3">
        <v>1062.5</v>
      </c>
      <c r="F187">
        <v>14</v>
      </c>
      <c r="G187" s="4">
        <v>0.2</v>
      </c>
      <c r="H187" s="5">
        <v>45728.245159328704</v>
      </c>
      <c r="I187" s="3">
        <v>228.83</v>
      </c>
      <c r="J187" s="6">
        <f t="shared" ca="1" si="15"/>
        <v>46323.798738425925</v>
      </c>
      <c r="L187" t="str">
        <f t="shared" si="16"/>
        <v>R.G.</v>
      </c>
      <c r="M187">
        <f t="shared" si="17"/>
        <v>89</v>
      </c>
    </row>
    <row r="188" spans="1:13">
      <c r="A188" t="s">
        <v>64</v>
      </c>
      <c r="B188" t="s">
        <v>65</v>
      </c>
      <c r="C188" t="s">
        <v>29</v>
      </c>
      <c r="D188" t="s">
        <v>36</v>
      </c>
      <c r="E188" s="3">
        <v>904</v>
      </c>
      <c r="F188">
        <v>17</v>
      </c>
      <c r="G188" s="4">
        <v>0.15</v>
      </c>
      <c r="H188" s="5">
        <v>45728.460443043979</v>
      </c>
      <c r="I188" s="3">
        <v>199.17</v>
      </c>
      <c r="J188" s="6">
        <f t="shared" ca="1" si="15"/>
        <v>46323.798738425925</v>
      </c>
      <c r="L188" t="str">
        <f t="shared" si="16"/>
        <v>J.T.</v>
      </c>
      <c r="M188">
        <f t="shared" si="17"/>
        <v>118</v>
      </c>
    </row>
    <row r="189" spans="1:13">
      <c r="A189" t="s">
        <v>44</v>
      </c>
      <c r="B189" t="s">
        <v>45</v>
      </c>
      <c r="C189" t="s">
        <v>29</v>
      </c>
      <c r="D189" t="s">
        <v>30</v>
      </c>
      <c r="E189" s="3">
        <v>1552.83</v>
      </c>
      <c r="F189">
        <v>9</v>
      </c>
      <c r="G189" s="4">
        <v>0.2</v>
      </c>
      <c r="H189" s="5">
        <v>45730.187913888891</v>
      </c>
      <c r="I189" s="3">
        <v>334.48</v>
      </c>
      <c r="J189" s="6">
        <f t="shared" ca="1" si="15"/>
        <v>46323.798738425925</v>
      </c>
      <c r="L189" t="str">
        <f t="shared" si="16"/>
        <v>M.W.</v>
      </c>
      <c r="M189">
        <f t="shared" si="17"/>
        <v>7</v>
      </c>
    </row>
    <row r="190" spans="1:13">
      <c r="A190" t="s">
        <v>57</v>
      </c>
      <c r="B190" t="s">
        <v>43</v>
      </c>
      <c r="C190" t="s">
        <v>29</v>
      </c>
      <c r="D190" t="s">
        <v>26</v>
      </c>
      <c r="E190" s="3">
        <v>1311.27</v>
      </c>
      <c r="F190">
        <v>8</v>
      </c>
      <c r="G190" s="4">
        <v>0.05</v>
      </c>
      <c r="H190" s="5">
        <v>45733.38049949074</v>
      </c>
      <c r="I190" s="3">
        <v>313.74</v>
      </c>
      <c r="J190" s="6">
        <f t="shared" ca="1" si="15"/>
        <v>46323.798738425925</v>
      </c>
      <c r="L190" t="str">
        <f t="shared" si="16"/>
        <v>D.L.</v>
      </c>
      <c r="M190">
        <f t="shared" si="17"/>
        <v>48</v>
      </c>
    </row>
    <row r="191" spans="1:13">
      <c r="A191" t="s">
        <v>54</v>
      </c>
      <c r="B191" t="s">
        <v>55</v>
      </c>
      <c r="C191" t="s">
        <v>39</v>
      </c>
      <c r="D191" t="s">
        <v>24</v>
      </c>
      <c r="E191" s="3">
        <v>803.49</v>
      </c>
      <c r="F191">
        <v>7</v>
      </c>
      <c r="G191" s="4">
        <v>0.1</v>
      </c>
      <c r="H191" s="5">
        <v>45734.105641134258</v>
      </c>
      <c r="I191" s="3">
        <v>217.35</v>
      </c>
      <c r="J191" s="6">
        <f t="shared" ca="1" si="15"/>
        <v>46323.798738425925</v>
      </c>
      <c r="L191" t="str">
        <f t="shared" si="16"/>
        <v>W.M.</v>
      </c>
      <c r="M191">
        <f t="shared" si="17"/>
        <v>139</v>
      </c>
    </row>
    <row r="192" spans="1:13">
      <c r="A192" t="s">
        <v>44</v>
      </c>
      <c r="B192" t="s">
        <v>45</v>
      </c>
      <c r="C192" t="s">
        <v>23</v>
      </c>
      <c r="D192" t="s">
        <v>36</v>
      </c>
      <c r="E192" s="3">
        <v>1078.8599999999999</v>
      </c>
      <c r="F192">
        <v>6</v>
      </c>
      <c r="G192" s="4">
        <v>0.05</v>
      </c>
      <c r="H192" s="5">
        <v>45734.423195127318</v>
      </c>
      <c r="I192" s="3">
        <v>317.11</v>
      </c>
      <c r="J192" s="6">
        <f t="shared" ca="1" si="15"/>
        <v>46323.798738425925</v>
      </c>
      <c r="L192" t="str">
        <f t="shared" si="16"/>
        <v>M.W.</v>
      </c>
      <c r="M192">
        <f t="shared" si="17"/>
        <v>86</v>
      </c>
    </row>
    <row r="193" spans="1:13">
      <c r="A193" t="s">
        <v>78</v>
      </c>
      <c r="B193" t="s">
        <v>79</v>
      </c>
      <c r="C193" t="s">
        <v>25</v>
      </c>
      <c r="D193" t="s">
        <v>50</v>
      </c>
      <c r="E193" s="3">
        <v>1435.7</v>
      </c>
      <c r="F193">
        <v>15</v>
      </c>
      <c r="G193" s="4">
        <v>0.2</v>
      </c>
      <c r="H193" s="5">
        <v>45736.749137430554</v>
      </c>
      <c r="I193" s="3">
        <v>300.56</v>
      </c>
      <c r="J193" s="6">
        <f t="shared" ca="1" si="15"/>
        <v>46323.798738425925</v>
      </c>
      <c r="L193" t="str">
        <f t="shared" si="16"/>
        <v>E.B.</v>
      </c>
      <c r="M193">
        <f t="shared" si="17"/>
        <v>26</v>
      </c>
    </row>
    <row r="194" spans="1:13">
      <c r="A194" t="s">
        <v>46</v>
      </c>
      <c r="B194" t="s">
        <v>28</v>
      </c>
      <c r="C194" t="s">
        <v>25</v>
      </c>
      <c r="D194" t="s">
        <v>30</v>
      </c>
      <c r="E194" s="3">
        <v>819.58</v>
      </c>
      <c r="F194">
        <v>1</v>
      </c>
      <c r="G194" s="4">
        <v>0</v>
      </c>
      <c r="H194" s="5">
        <v>45737.080695115743</v>
      </c>
      <c r="I194" s="3">
        <v>245.42</v>
      </c>
      <c r="J194" s="6">
        <f t="shared" ref="J194:J201" ca="1" si="18">NOW()</f>
        <v>46323.798738425925</v>
      </c>
      <c r="L194" t="str">
        <f t="shared" ref="L194:L201" si="19">LEFT(B194,1)&amp;"."&amp;LEFT(RIGHT(B194,LEN(B194)-FIND(" ",B194)),1)&amp;"."</f>
        <v>G.S.</v>
      </c>
      <c r="M194">
        <f t="shared" ref="M194:M201" si="20">_xlfn.RANK.EQ(E194,$E$2:$E$201,0)</f>
        <v>135</v>
      </c>
    </row>
    <row r="195" spans="1:13">
      <c r="A195" t="s">
        <v>42</v>
      </c>
      <c r="B195" t="s">
        <v>43</v>
      </c>
      <c r="C195" t="s">
        <v>33</v>
      </c>
      <c r="D195" t="s">
        <v>50</v>
      </c>
      <c r="E195" s="3">
        <v>764.53</v>
      </c>
      <c r="F195">
        <v>6</v>
      </c>
      <c r="G195" s="4">
        <v>0</v>
      </c>
      <c r="H195" s="5">
        <v>45739.721933460649</v>
      </c>
      <c r="I195" s="3">
        <v>222.25</v>
      </c>
      <c r="J195" s="6">
        <f t="shared" ca="1" si="18"/>
        <v>46323.798738425925</v>
      </c>
      <c r="L195" t="str">
        <f t="shared" si="19"/>
        <v>D.L.</v>
      </c>
      <c r="M195">
        <f t="shared" si="20"/>
        <v>144</v>
      </c>
    </row>
    <row r="196" spans="1:13">
      <c r="A196" t="s">
        <v>40</v>
      </c>
      <c r="B196" t="s">
        <v>41</v>
      </c>
      <c r="C196" t="s">
        <v>25</v>
      </c>
      <c r="D196" t="s">
        <v>24</v>
      </c>
      <c r="E196" s="3">
        <v>697.31</v>
      </c>
      <c r="F196">
        <v>2</v>
      </c>
      <c r="G196" s="4">
        <v>0.05</v>
      </c>
      <c r="H196" s="5">
        <v>45739.939916921299</v>
      </c>
      <c r="I196" s="3">
        <v>169.26</v>
      </c>
      <c r="J196" s="6">
        <f t="shared" ca="1" si="18"/>
        <v>46323.798738425925</v>
      </c>
      <c r="L196" t="str">
        <f t="shared" si="19"/>
        <v>S.C.</v>
      </c>
      <c r="M196">
        <f t="shared" si="20"/>
        <v>154</v>
      </c>
    </row>
    <row r="197" spans="1:13">
      <c r="A197" t="s">
        <v>76</v>
      </c>
      <c r="B197" t="s">
        <v>77</v>
      </c>
      <c r="C197" t="s">
        <v>25</v>
      </c>
      <c r="D197" t="s">
        <v>50</v>
      </c>
      <c r="E197" s="3">
        <v>1097.4000000000001</v>
      </c>
      <c r="F197">
        <v>14</v>
      </c>
      <c r="G197" s="4">
        <v>0.15</v>
      </c>
      <c r="H197" s="5">
        <v>45740.463451759257</v>
      </c>
      <c r="I197" s="3">
        <v>197.86</v>
      </c>
      <c r="J197" s="6">
        <f t="shared" ca="1" si="18"/>
        <v>46323.798738425925</v>
      </c>
      <c r="L197" t="str">
        <f t="shared" si="19"/>
        <v>J.W.</v>
      </c>
      <c r="M197">
        <f t="shared" si="20"/>
        <v>83</v>
      </c>
    </row>
    <row r="198" spans="1:13">
      <c r="A198" t="s">
        <v>51</v>
      </c>
      <c r="B198" t="s">
        <v>52</v>
      </c>
      <c r="C198" t="s">
        <v>29</v>
      </c>
      <c r="D198" t="s">
        <v>26</v>
      </c>
      <c r="E198" s="3">
        <v>1403.1</v>
      </c>
      <c r="F198">
        <v>9</v>
      </c>
      <c r="G198" s="4">
        <v>0.05</v>
      </c>
      <c r="H198" s="5">
        <v>45742.365326203704</v>
      </c>
      <c r="I198" s="3">
        <v>321.32</v>
      </c>
      <c r="J198" s="6">
        <f t="shared" ca="1" si="18"/>
        <v>46323.798738425925</v>
      </c>
      <c r="L198" t="str">
        <f t="shared" si="19"/>
        <v>N.A.</v>
      </c>
      <c r="M198">
        <f t="shared" si="20"/>
        <v>29</v>
      </c>
    </row>
    <row r="199" spans="1:13">
      <c r="A199" t="s">
        <v>69</v>
      </c>
      <c r="B199" t="s">
        <v>70</v>
      </c>
      <c r="C199" t="s">
        <v>33</v>
      </c>
      <c r="D199" t="s">
        <v>36</v>
      </c>
      <c r="E199" s="3">
        <v>770.95</v>
      </c>
      <c r="F199">
        <v>5</v>
      </c>
      <c r="G199" s="4">
        <v>0.1</v>
      </c>
      <c r="H199" s="5">
        <v>45745.120851527776</v>
      </c>
      <c r="I199" s="3">
        <v>202.43</v>
      </c>
      <c r="J199" s="6">
        <f t="shared" ca="1" si="18"/>
        <v>46323.798738425925</v>
      </c>
      <c r="L199" t="str">
        <f t="shared" si="19"/>
        <v>K.M.</v>
      </c>
      <c r="M199">
        <f t="shared" si="20"/>
        <v>142</v>
      </c>
    </row>
    <row r="200" spans="1:13">
      <c r="A200" t="s">
        <v>37</v>
      </c>
      <c r="B200" t="s">
        <v>38</v>
      </c>
      <c r="C200" t="s">
        <v>33</v>
      </c>
      <c r="D200" t="s">
        <v>36</v>
      </c>
      <c r="E200" s="3">
        <v>646.54999999999995</v>
      </c>
      <c r="F200">
        <v>14</v>
      </c>
      <c r="G200" s="4">
        <v>0.1</v>
      </c>
      <c r="H200" s="5">
        <v>45751.165464074074</v>
      </c>
      <c r="I200" s="3">
        <v>141.12</v>
      </c>
      <c r="J200" s="6">
        <f t="shared" ca="1" si="18"/>
        <v>46323.798738425925</v>
      </c>
      <c r="L200" t="str">
        <f t="shared" si="19"/>
        <v>P.T.</v>
      </c>
      <c r="M200">
        <f t="shared" si="20"/>
        <v>162</v>
      </c>
    </row>
    <row r="201" spans="1:13">
      <c r="A201" t="s">
        <v>54</v>
      </c>
      <c r="B201" t="s">
        <v>55</v>
      </c>
      <c r="C201" t="s">
        <v>33</v>
      </c>
      <c r="D201" t="s">
        <v>50</v>
      </c>
      <c r="E201" s="3">
        <v>736.21</v>
      </c>
      <c r="F201">
        <v>1</v>
      </c>
      <c r="G201" s="4">
        <v>0.05</v>
      </c>
      <c r="H201" s="5">
        <v>45751.458644363425</v>
      </c>
      <c r="I201" s="3">
        <v>174.27</v>
      </c>
      <c r="J201" s="6">
        <f t="shared" ca="1" si="18"/>
        <v>46323.798738425925</v>
      </c>
      <c r="L201" t="str">
        <f t="shared" si="19"/>
        <v>W.M.</v>
      </c>
      <c r="M201">
        <f t="shared" si="20"/>
        <v>148</v>
      </c>
    </row>
  </sheetData>
  <conditionalFormatting sqref="E2:E201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15" customWidth="1"/>
    <col min="2" max="2" width="18" customWidth="1"/>
    <col min="3" max="3" width="3" customWidth="1"/>
    <col min="4" max="4" width="22" customWidth="1"/>
    <col min="5" max="5" width="18" customWidth="1"/>
    <col min="6" max="6" width="3" customWidth="1"/>
    <col min="7" max="8" width="18" customWidth="1"/>
    <col min="9" max="9" width="3" customWidth="1"/>
    <col min="10" max="10" width="16" customWidth="1"/>
    <col min="11" max="11" width="18" customWidth="1"/>
    <col min="12" max="12" width="3" customWidth="1"/>
    <col min="13" max="13" width="25" customWidth="1"/>
    <col min="14" max="14" width="18" customWidth="1"/>
  </cols>
  <sheetData>
    <row r="1" spans="1:14" ht="19.5">
      <c r="A1" s="24" t="s">
        <v>81</v>
      </c>
      <c r="B1" s="24"/>
      <c r="C1" s="24"/>
      <c r="D1" s="24"/>
      <c r="E1" s="24"/>
      <c r="F1" s="24"/>
      <c r="G1" s="24"/>
      <c r="H1" s="24"/>
    </row>
    <row r="3" spans="1:14">
      <c r="A3" s="1" t="s">
        <v>10</v>
      </c>
      <c r="B3" s="1" t="s">
        <v>12</v>
      </c>
      <c r="D3" s="1" t="s">
        <v>82</v>
      </c>
      <c r="E3" s="1" t="s">
        <v>12</v>
      </c>
      <c r="G3" s="1" t="s">
        <v>83</v>
      </c>
      <c r="H3" s="1" t="s">
        <v>12</v>
      </c>
      <c r="J3" s="1" t="s">
        <v>84</v>
      </c>
      <c r="K3" s="1" t="s">
        <v>85</v>
      </c>
      <c r="M3" s="8" t="s">
        <v>86</v>
      </c>
      <c r="N3" s="8" t="s">
        <v>87</v>
      </c>
    </row>
    <row r="4" spans="1:14">
      <c r="A4" t="s">
        <v>29</v>
      </c>
      <c r="B4" s="3">
        <f>SUMIF(Dataset!$C$2:$C$201,A4,Dataset!$E$2:$E$201)</f>
        <v>39877.18</v>
      </c>
      <c r="D4" t="s">
        <v>24</v>
      </c>
      <c r="E4" s="3">
        <f>SUMIF(Dataset!$D$2:$D$201,D4,Dataset!$E$2:$E$201)</f>
        <v>42009.47</v>
      </c>
      <c r="G4" s="7">
        <v>45383</v>
      </c>
      <c r="H4" s="3">
        <f>SUMIFS(Dataset!$E$2:$E$201,Dataset!$H$2:$H$201,"&gt;="&amp;G4,Dataset!$H$2:$H$201,"&lt;"&amp;EDATE(G4,1))</f>
        <v>16931.910000000003</v>
      </c>
      <c r="J4" t="s">
        <v>66</v>
      </c>
      <c r="K4" s="3">
        <f>SUMIF(Dataset!$A$2:$A$201,J4,Dataset!$E$2:$E$201)</f>
        <v>4065.5899999999997</v>
      </c>
      <c r="M4" t="s">
        <v>88</v>
      </c>
      <c r="N4" s="3">
        <f>AVERAGE(Dataset!$E$2:$E$201)</f>
        <v>1003.5814</v>
      </c>
    </row>
    <row r="5" spans="1:14">
      <c r="A5" t="s">
        <v>33</v>
      </c>
      <c r="B5" s="3">
        <f>SUMIF(Dataset!$C$2:$C$201,A5,Dataset!$E$2:$E$201)</f>
        <v>40262.530000000013</v>
      </c>
      <c r="D5" t="s">
        <v>26</v>
      </c>
      <c r="E5" s="3">
        <f>SUMIF(Dataset!$D$2:$D$201,D5,Dataset!$E$2:$E$201)</f>
        <v>35506.619999999995</v>
      </c>
      <c r="G5" s="7">
        <v>45413</v>
      </c>
      <c r="H5" s="3">
        <f>SUMIFS(Dataset!$E$2:$E$201,Dataset!$H$2:$H$201,"&gt;="&amp;G5,Dataset!$H$2:$H$201,"&lt;"&amp;EDATE(G5,1))</f>
        <v>20842.240000000002</v>
      </c>
      <c r="J5" t="s">
        <v>27</v>
      </c>
      <c r="K5" s="3">
        <f>SUMIF(Dataset!$A$2:$A$201,J5,Dataset!$E$2:$E$201)</f>
        <v>9303.61</v>
      </c>
      <c r="M5" t="s">
        <v>89</v>
      </c>
      <c r="N5" s="3">
        <f>MEDIAN(Dataset!$E$2:$E$201)</f>
        <v>994.755</v>
      </c>
    </row>
    <row r="6" spans="1:14">
      <c r="A6" t="s">
        <v>25</v>
      </c>
      <c r="B6" s="3">
        <f>SUMIF(Dataset!$C$2:$C$201,A6,Dataset!$E$2:$E$201)</f>
        <v>36219.859999999993</v>
      </c>
      <c r="D6" t="s">
        <v>36</v>
      </c>
      <c r="E6" s="3">
        <f>SUMIF(Dataset!$D$2:$D$201,D6,Dataset!$E$2:$E$201)</f>
        <v>40748.070000000007</v>
      </c>
      <c r="G6" s="7">
        <v>45444</v>
      </c>
      <c r="H6" s="3">
        <f>SUMIFS(Dataset!$E$2:$E$201,Dataset!$H$2:$H$201,"&gt;="&amp;G6,Dataset!$H$2:$H$201,"&lt;"&amp;EDATE(G6,1))</f>
        <v>17943.509999999998</v>
      </c>
      <c r="J6" t="s">
        <v>60</v>
      </c>
      <c r="K6" s="3">
        <f>SUMIF(Dataset!$A$2:$A$201,J6,Dataset!$E$2:$E$201)</f>
        <v>9714</v>
      </c>
      <c r="M6" t="s">
        <v>90</v>
      </c>
      <c r="N6" s="3">
        <f>_xlfn.STDEV.S(Dataset!$E$2:$E$201)</f>
        <v>337.04422483632226</v>
      </c>
    </row>
    <row r="7" spans="1:14">
      <c r="A7" t="s">
        <v>39</v>
      </c>
      <c r="B7" s="3">
        <f>SUMIF(Dataset!$C$2:$C$201,A7,Dataset!$E$2:$E$201)</f>
        <v>37084.560000000005</v>
      </c>
      <c r="D7" t="s">
        <v>50</v>
      </c>
      <c r="E7" s="3">
        <f>SUMIF(Dataset!$D$2:$D$201,D7,Dataset!$E$2:$E$201)</f>
        <v>43085.22</v>
      </c>
      <c r="G7" s="7">
        <v>45474</v>
      </c>
      <c r="H7" s="3">
        <f>SUMIFS(Dataset!$E$2:$E$201,Dataset!$H$2:$H$201,"&gt;="&amp;G7,Dataset!$H$2:$H$201,"&lt;"&amp;EDATE(G7,1))</f>
        <v>22256.17</v>
      </c>
      <c r="J7" t="s">
        <v>54</v>
      </c>
      <c r="K7" s="3">
        <f>SUMIF(Dataset!$A$2:$A$201,J7,Dataset!$E$2:$E$201)</f>
        <v>6802.41</v>
      </c>
      <c r="M7" t="s">
        <v>91</v>
      </c>
      <c r="N7" s="3">
        <f>AVERAGE(Dataset!$I$2:$I$201)</f>
        <v>239.10689999999991</v>
      </c>
    </row>
    <row r="8" spans="1:14">
      <c r="A8" t="s">
        <v>23</v>
      </c>
      <c r="B8" s="3">
        <f>SUMIF(Dataset!$C$2:$C$201,A8,Dataset!$E$2:$E$201)</f>
        <v>47272.150000000009</v>
      </c>
      <c r="D8" t="s">
        <v>30</v>
      </c>
      <c r="E8" s="3">
        <f>SUMIF(Dataset!$D$2:$D$201,D8,Dataset!$E$2:$E$201)</f>
        <v>39366.9</v>
      </c>
      <c r="G8" s="7">
        <v>45505</v>
      </c>
      <c r="H8" s="3">
        <f>SUMIFS(Dataset!$E$2:$E$201,Dataset!$H$2:$H$201,"&gt;="&amp;G8,Dataset!$H$2:$H$201,"&lt;"&amp;EDATE(G8,1))</f>
        <v>10109.860000000002</v>
      </c>
      <c r="J8" t="s">
        <v>47</v>
      </c>
      <c r="K8" s="3">
        <f>SUMIF(Dataset!$A$2:$A$201,J8,Dataset!$E$2:$E$201)</f>
        <v>8478.2799999999988</v>
      </c>
      <c r="M8" t="s">
        <v>92</v>
      </c>
      <c r="N8" s="3">
        <f>SUM(Dataset!$I$2:$I$201)</f>
        <v>47821.379999999983</v>
      </c>
    </row>
    <row r="9" spans="1:14">
      <c r="G9" s="7">
        <v>45536</v>
      </c>
      <c r="H9" s="3">
        <f>SUMIFS(Dataset!$E$2:$E$201,Dataset!$H$2:$H$201,"&gt;="&amp;G9,Dataset!$H$2:$H$201,"&lt;"&amp;EDATE(G9,1))</f>
        <v>23294.48</v>
      </c>
      <c r="J9" t="s">
        <v>42</v>
      </c>
      <c r="K9" s="3">
        <f>SUMIF(Dataset!$A$2:$A$201,J9,Dataset!$E$2:$E$201)</f>
        <v>4307.25</v>
      </c>
      <c r="M9" t="s">
        <v>93</v>
      </c>
      <c r="N9" s="9">
        <f>AVERAGE(Dataset!$G$2:$G$201)</f>
        <v>9.6500000000000044E-2</v>
      </c>
    </row>
    <row r="10" spans="1:14">
      <c r="G10" s="7">
        <v>45566</v>
      </c>
      <c r="H10" s="3">
        <f>SUMIFS(Dataset!$E$2:$E$201,Dataset!$H$2:$H$201,"&gt;="&amp;G10,Dataset!$H$2:$H$201,"&lt;"&amp;EDATE(G10,1))</f>
        <v>9095.4000000000015</v>
      </c>
      <c r="J10" t="s">
        <v>37</v>
      </c>
      <c r="K10" s="3">
        <f>SUMIF(Dataset!$A$2:$A$201,J10,Dataset!$E$2:$E$201)</f>
        <v>4839.32</v>
      </c>
      <c r="M10" t="s">
        <v>94</v>
      </c>
      <c r="N10">
        <f>COUNT(Dataset!$E$2:$E$201)</f>
        <v>200</v>
      </c>
    </row>
    <row r="11" spans="1:14">
      <c r="G11" s="7">
        <v>45597</v>
      </c>
      <c r="H11" s="3">
        <f>SUMIFS(Dataset!$E$2:$E$201,Dataset!$H$2:$H$201,"&gt;="&amp;G11,Dataset!$H$2:$H$201,"&lt;"&amp;EDATE(G11,1))</f>
        <v>17818.670000000002</v>
      </c>
      <c r="J11" t="s">
        <v>48</v>
      </c>
      <c r="K11" s="3">
        <f>SUMIF(Dataset!$A$2:$A$201,J11,Dataset!$E$2:$E$201)</f>
        <v>10264.019999999999</v>
      </c>
    </row>
    <row r="12" spans="1:14">
      <c r="G12" s="7">
        <v>45627</v>
      </c>
      <c r="H12" s="3">
        <f>SUMIFS(Dataset!$E$2:$E$201,Dataset!$H$2:$H$201,"&gt;="&amp;G12,Dataset!$H$2:$H$201,"&lt;"&amp;EDATE(G12,1))</f>
        <v>16844.390000000003</v>
      </c>
      <c r="J12" t="s">
        <v>80</v>
      </c>
      <c r="K12" s="3">
        <f>SUMIF(Dataset!$A$2:$A$201,J12,Dataset!$E$2:$E$201)</f>
        <v>2461.0699999999997</v>
      </c>
    </row>
    <row r="13" spans="1:14">
      <c r="G13" s="7">
        <v>45658</v>
      </c>
      <c r="H13" s="3">
        <f>SUMIFS(Dataset!$E$2:$E$201,Dataset!$H$2:$H$201,"&gt;="&amp;G13,Dataset!$H$2:$H$201,"&lt;"&amp;EDATE(G13,1))</f>
        <v>5975.7899999999991</v>
      </c>
      <c r="J13" t="s">
        <v>56</v>
      </c>
      <c r="K13" s="3">
        <f>SUMIF(Dataset!$A$2:$A$201,J13,Dataset!$E$2:$E$201)</f>
        <v>3426.68</v>
      </c>
    </row>
    <row r="14" spans="1:14">
      <c r="G14" s="7">
        <v>45689</v>
      </c>
      <c r="H14" s="3">
        <f>SUMIFS(Dataset!$E$2:$E$201,Dataset!$H$2:$H$201,"&gt;="&amp;G14,Dataset!$H$2:$H$201,"&lt;"&amp;EDATE(G14,1))</f>
        <v>16225.039999999999</v>
      </c>
      <c r="J14" t="s">
        <v>64</v>
      </c>
      <c r="K14" s="3">
        <f>SUMIF(Dataset!$A$2:$A$201,J14,Dataset!$E$2:$E$201)</f>
        <v>6671.51</v>
      </c>
    </row>
    <row r="15" spans="1:14">
      <c r="G15" s="7">
        <v>45717</v>
      </c>
      <c r="H15" s="3">
        <f>SUMIFS(Dataset!$E$2:$E$201,Dataset!$H$2:$H$201,"&gt;="&amp;G15,Dataset!$H$2:$H$201,"&lt;"&amp;EDATE(G15,1))</f>
        <v>21996.060000000005</v>
      </c>
      <c r="J15" t="s">
        <v>58</v>
      </c>
      <c r="K15" s="3">
        <f>SUMIF(Dataset!$A$2:$A$201,J15,Dataset!$E$2:$E$201)</f>
        <v>4136.8600000000006</v>
      </c>
    </row>
    <row r="16" spans="1:14">
      <c r="G16" s="7">
        <v>45748</v>
      </c>
      <c r="H16" s="3">
        <f>SUMIFS(Dataset!$E$2:$E$201,Dataset!$H$2:$H$201,"&gt;="&amp;G16,Dataset!$H$2:$H$201,"&lt;"&amp;EDATE(G16,1))</f>
        <v>1382.76</v>
      </c>
      <c r="J16" t="s">
        <v>69</v>
      </c>
      <c r="K16" s="3">
        <f>SUMIF(Dataset!$A$2:$A$201,J16,Dataset!$E$2:$E$201)</f>
        <v>3776.8099999999995</v>
      </c>
    </row>
    <row r="17" spans="10:11">
      <c r="J17" t="s">
        <v>73</v>
      </c>
      <c r="K17" s="3">
        <f>SUMIF(Dataset!$A$2:$A$201,J17,Dataset!$E$2:$E$201)</f>
        <v>8953.58</v>
      </c>
    </row>
    <row r="18" spans="10:11">
      <c r="J18" t="s">
        <v>40</v>
      </c>
      <c r="K18" s="3">
        <f>SUMIF(Dataset!$A$2:$A$201,J18,Dataset!$E$2:$E$201)</f>
        <v>5233.67</v>
      </c>
    </row>
    <row r="19" spans="10:11">
      <c r="J19" t="s">
        <v>71</v>
      </c>
      <c r="K19" s="3">
        <f>SUMIF(Dataset!$A$2:$A$201,J19,Dataset!$E$2:$E$201)</f>
        <v>2464.1</v>
      </c>
    </row>
    <row r="20" spans="10:11">
      <c r="J20" t="s">
        <v>44</v>
      </c>
      <c r="K20" s="3">
        <f>SUMIF(Dataset!$A$2:$A$201,J20,Dataset!$E$2:$E$201)</f>
        <v>8745.68</v>
      </c>
    </row>
    <row r="21" spans="10:11">
      <c r="J21" t="s">
        <v>76</v>
      </c>
      <c r="K21" s="3">
        <f>SUMIF(Dataset!$A$2:$A$201,J21,Dataset!$E$2:$E$201)</f>
        <v>4089.87</v>
      </c>
    </row>
    <row r="22" spans="10:11">
      <c r="J22" t="s">
        <v>51</v>
      </c>
      <c r="K22" s="3">
        <f>SUMIF(Dataset!$A$2:$A$201,J22,Dataset!$E$2:$E$201)</f>
        <v>9340.6200000000008</v>
      </c>
    </row>
    <row r="23" spans="10:11">
      <c r="J23" t="s">
        <v>34</v>
      </c>
      <c r="K23" s="3">
        <f>SUMIF(Dataset!$A$2:$A$201,J23,Dataset!$E$2:$E$201)</f>
        <v>9479.75</v>
      </c>
    </row>
    <row r="24" spans="10:11">
      <c r="J24" t="s">
        <v>75</v>
      </c>
      <c r="K24" s="3">
        <f>SUMIF(Dataset!$A$2:$A$201,J24,Dataset!$E$2:$E$201)</f>
        <v>560.96</v>
      </c>
    </row>
    <row r="25" spans="10:11">
      <c r="J25" t="s">
        <v>46</v>
      </c>
      <c r="K25" s="3">
        <f>SUMIF(Dataset!$A$2:$A$201,J25,Dataset!$E$2:$E$201)</f>
        <v>10709.36</v>
      </c>
    </row>
    <row r="26" spans="10:11">
      <c r="J26" t="s">
        <v>62</v>
      </c>
      <c r="K26" s="3">
        <f>SUMIF(Dataset!$A$2:$A$201,J26,Dataset!$E$2:$E$201)</f>
        <v>7290.2100000000009</v>
      </c>
    </row>
    <row r="27" spans="10:11">
      <c r="J27" t="s">
        <v>68</v>
      </c>
      <c r="K27" s="3">
        <f>SUMIF(Dataset!$A$2:$A$201,J27,Dataset!$E$2:$E$201)</f>
        <v>4380.68</v>
      </c>
    </row>
    <row r="28" spans="10:11">
      <c r="J28" t="s">
        <v>31</v>
      </c>
      <c r="K28" s="3">
        <f>SUMIF(Dataset!$A$2:$A$201,J28,Dataset!$E$2:$E$201)</f>
        <v>5262.72</v>
      </c>
    </row>
    <row r="29" spans="10:11">
      <c r="J29" t="s">
        <v>57</v>
      </c>
      <c r="K29" s="3">
        <f>SUMIF(Dataset!$A$2:$A$201,J29,Dataset!$E$2:$E$201)</f>
        <v>9630.68</v>
      </c>
    </row>
    <row r="30" spans="10:11">
      <c r="J30" t="s">
        <v>53</v>
      </c>
      <c r="K30" s="3">
        <f>SUMIF(Dataset!$A$2:$A$201,J30,Dataset!$E$2:$E$201)</f>
        <v>13244.679999999998</v>
      </c>
    </row>
    <row r="31" spans="10:11">
      <c r="J31" t="s">
        <v>63</v>
      </c>
      <c r="K31" s="3">
        <f>SUMIF(Dataset!$A$2:$A$201,J31,Dataset!$E$2:$E$201)</f>
        <v>7490.1900000000005</v>
      </c>
    </row>
    <row r="32" spans="10:11">
      <c r="J32" t="s">
        <v>78</v>
      </c>
      <c r="K32" s="3">
        <f>SUMIF(Dataset!$A$2:$A$201,J32,Dataset!$E$2:$E$201)</f>
        <v>6323.8499999999995</v>
      </c>
    </row>
    <row r="33" spans="10:11">
      <c r="J33" t="s">
        <v>21</v>
      </c>
      <c r="K33" s="3">
        <f>SUMIF(Dataset!$A$2:$A$201,J33,Dataset!$E$2:$E$201)</f>
        <v>9268.27</v>
      </c>
    </row>
  </sheetData>
  <mergeCells count="1">
    <mergeCell ref="A1:H1"/>
  </mergeCells>
  <conditionalFormatting sqref="K4:K33">
    <cfRule type="top10" dxfId="0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/>
  </sheetViews>
  <sheetFormatPr defaultRowHeight="14.25"/>
  <cols>
    <col min="1" max="1" width="42" customWidth="1"/>
    <col min="2" max="2" width="22" customWidth="1"/>
    <col min="3" max="3" width="4" customWidth="1"/>
    <col min="4" max="4" width="54" customWidth="1"/>
  </cols>
  <sheetData>
    <row r="1" spans="1:4" ht="19.5">
      <c r="A1" s="24" t="s">
        <v>95</v>
      </c>
      <c r="B1" s="24"/>
      <c r="C1" s="24"/>
      <c r="D1" s="24"/>
    </row>
    <row r="3" spans="1:4">
      <c r="A3" s="1" t="s">
        <v>96</v>
      </c>
      <c r="B3" s="1" t="s">
        <v>87</v>
      </c>
      <c r="D3" s="25" t="s">
        <v>97</v>
      </c>
    </row>
    <row r="4" spans="1:4">
      <c r="A4" t="s">
        <v>98</v>
      </c>
      <c r="B4" s="9">
        <f>AVERAGE(Dataset!$G$2:$G$201)</f>
        <v>9.6500000000000044E-2</v>
      </c>
      <c r="D4" s="25"/>
    </row>
    <row r="5" spans="1:4">
      <c r="A5" t="s">
        <v>99</v>
      </c>
      <c r="B5" s="10">
        <v>0.1</v>
      </c>
      <c r="D5" s="25"/>
    </row>
    <row r="6" spans="1:4">
      <c r="A6" t="s">
        <v>100</v>
      </c>
      <c r="B6" s="3">
        <f>SUM(Dataset!$E$2:$E$201)</f>
        <v>200716.28</v>
      </c>
      <c r="D6" s="25"/>
    </row>
    <row r="7" spans="1:4">
      <c r="A7" t="s">
        <v>101</v>
      </c>
      <c r="B7" s="3">
        <f>SUM(Dataset!$I$2:$I$201)</f>
        <v>47821.379999999983</v>
      </c>
    </row>
    <row r="8" spans="1:4">
      <c r="A8" t="s">
        <v>102</v>
      </c>
      <c r="B8" s="3">
        <f>B7+(B4-B5)*B6*0.45</f>
        <v>47505.251858999989</v>
      </c>
    </row>
  </sheetData>
  <mergeCells count="2">
    <mergeCell ref="A1:D1"/>
    <mergeCell ref="D3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25" customWidth="1"/>
    <col min="2" max="2" width="100" customWidth="1"/>
  </cols>
  <sheetData>
    <row r="1" spans="1:4" ht="20.25">
      <c r="A1" s="26" t="s">
        <v>103</v>
      </c>
      <c r="B1" s="26"/>
      <c r="C1" s="26"/>
      <c r="D1" s="26"/>
    </row>
    <row r="3" spans="1:4">
      <c r="A3" s="11" t="s">
        <v>104</v>
      </c>
      <c r="B3" s="12" t="s">
        <v>105</v>
      </c>
    </row>
    <row r="4" spans="1:4" ht="25.5">
      <c r="A4" s="11" t="s">
        <v>106</v>
      </c>
      <c r="B4" s="12" t="s">
        <v>107</v>
      </c>
    </row>
    <row r="5" spans="1:4" ht="25.5">
      <c r="A5" s="11" t="s">
        <v>108</v>
      </c>
      <c r="B5" s="12" t="s">
        <v>109</v>
      </c>
    </row>
    <row r="7" spans="1:4">
      <c r="A7" s="1"/>
      <c r="B7" s="1"/>
    </row>
    <row r="8" spans="1:4">
      <c r="A8" s="13" t="s">
        <v>110</v>
      </c>
      <c r="B8" s="12" t="s">
        <v>111</v>
      </c>
    </row>
    <row r="9" spans="1:4">
      <c r="A9" s="13" t="s">
        <v>112</v>
      </c>
      <c r="B9" s="12" t="s">
        <v>113</v>
      </c>
    </row>
    <row r="10" spans="1:4">
      <c r="A10" s="13" t="s">
        <v>114</v>
      </c>
      <c r="B10" s="12" t="s">
        <v>115</v>
      </c>
    </row>
    <row r="11" spans="1:4">
      <c r="A11" s="13" t="s">
        <v>116</v>
      </c>
      <c r="B11" s="12" t="s">
        <v>117</v>
      </c>
    </row>
    <row r="12" spans="1:4" ht="25.5">
      <c r="A12" s="13" t="s">
        <v>118</v>
      </c>
      <c r="B12" s="12" t="s">
        <v>119</v>
      </c>
    </row>
    <row r="13" spans="1:4">
      <c r="A13" s="13" t="s">
        <v>120</v>
      </c>
      <c r="B13" s="12" t="s">
        <v>121</v>
      </c>
    </row>
    <row r="14" spans="1:4" ht="25.5">
      <c r="A14" s="13" t="s">
        <v>122</v>
      </c>
      <c r="B14" s="12" t="s">
        <v>123</v>
      </c>
    </row>
    <row r="15" spans="1:4" ht="25.5">
      <c r="A15" s="13" t="s">
        <v>124</v>
      </c>
      <c r="B15" s="12" t="s">
        <v>125</v>
      </c>
    </row>
    <row r="16" spans="1:4">
      <c r="A16" s="13" t="s">
        <v>126</v>
      </c>
      <c r="B16" s="12" t="s">
        <v>127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Dataset</vt:lpstr>
      <vt:lpstr>Analysis</vt:lpstr>
      <vt:lpstr>What-If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Mahir Damor</cp:lastModifiedBy>
  <dcterms:modified xsi:type="dcterms:W3CDTF">2026-10-28T13:41:29Z</dcterms:modified>
</cp:coreProperties>
</file>